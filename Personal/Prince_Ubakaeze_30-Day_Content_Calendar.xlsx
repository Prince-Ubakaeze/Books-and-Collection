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e476a585734c8f" /></Relationships>
</file>

<file path=xl/workbook.xml><?xml version="1.0" encoding="utf-8"?>
<x:workbook xmlns:x="http://schemas.openxmlformats.org/spreadsheetml/2006/main">
  <x:sheets>
    <x:sheet xmlns:r="http://schemas.openxmlformats.org/officeDocument/2006/relationships" name="START HERE" sheetId="1" r:id="Ra53fa1bfa23e410e"/>
    <x:sheet xmlns:r="http://schemas.openxmlformats.org/officeDocument/2006/relationships" name="30-DAY PLAN" sheetId="2" r:id="Rac93f867dd3e4500"/>
    <x:sheet xmlns:r="http://schemas.openxmlformats.org/officeDocument/2006/relationships" name="CONTENT BANK" sheetId="3" r:id="R594d1cc5f3644ea2"/>
    <x:sheet xmlns:r="http://schemas.openxmlformats.org/officeDocument/2006/relationships" name="TRACKER" sheetId="4" r:id="Rb909ea7d8cb04727"/>
    <x:sheet xmlns:r="http://schemas.openxmlformats.org/officeDocument/2006/relationships" name="SOURCES" sheetId="5" r:id="R3c5f854b486a48d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ddd, dd mmm"/>
    <x:numFmt numFmtId="203" formatCode="dd mmm yyyy"/>
    <x:numFmt numFmtId="204" formatCode="#,##0"/>
    <x:numFmt numFmtId="205" formatCode="0.0%"/>
  </x:numFmts>
  <x:fonts count="13">
    <x:font>
      <x:sz val="11"/>
      <x:name val="Carlito"/>
    </x:font>
    <x:font>
      <x:sz val="11"/>
      <x:color rgb="FF111216"/>
      <x:name val="Calibri"/>
    </x:font>
    <x:font>
      <x:b/>
      <x:sz val="20"/>
      <x:color rgb="FFFFFFFF"/>
      <x:name val="Calibri"/>
    </x:font>
    <x:font>
      <x:i/>
      <x:sz val="10"/>
      <x:color rgb="FFD9D4CC"/>
      <x:name val="Calibri"/>
    </x:font>
    <x:font>
      <x:b/>
      <x:sz val="9"/>
      <x:color rgb="FF6F6A63"/>
      <x:name val="Calibri"/>
    </x:font>
    <x:font>
      <x:b/>
      <x:sz val="22"/>
      <x:color rgb="FF111216"/>
      <x:name val="Calibri"/>
    </x:font>
    <x:font>
      <x:b/>
      <x:sz val="10"/>
      <x:color rgb="FFFFFFFF"/>
      <x:name val="Calibri"/>
    </x:font>
    <x:font>
      <x:sz val="10"/>
      <x:color rgb="FF111216"/>
      <x:name val="Calibri"/>
    </x:font>
    <x:font>
      <x:b/>
      <x:sz val="10"/>
      <x:color rgb="FFB08A4A"/>
      <x:name val="Calibri"/>
    </x:font>
    <x:font>
      <x:b/>
      <x:sz val="12"/>
      <x:color rgb="FF111216"/>
      <x:name val="Calibri"/>
    </x:font>
    <x:font>
      <x:b/>
      <x:sz val="11"/>
      <x:color rgb="FFFFFFFF"/>
      <x:name val="Calibri"/>
    </x:font>
    <x:font>
      <x:i/>
      <x:sz val="10"/>
      <x:color rgb="FF6F6A63"/>
      <x:name val="Calibri"/>
    </x:font>
    <x:font>
      <x:b/>
      <x:sz val="10"/>
      <x:color rgb="FF111216"/>
      <x:name val="Calibri"/>
    </x:font>
  </x:fonts>
  <x:fills count="7">
    <x:fill>
      <x:patternFill patternType="none"/>
    </x:fill>
    <x:fill>
      <x:patternFill patternType="gray125"/>
    </x:fill>
    <x:fill>
      <x:patternFill patternType="solid">
        <x:fgColor rgb="FF111216"/>
      </x:patternFill>
    </x:fill>
    <x:fill>
      <x:patternFill patternType="solid">
        <x:fgColor rgb="FFEAE3D8"/>
      </x:patternFill>
    </x:fill>
    <x:fill>
      <x:patternFill patternType="solid">
        <x:fgColor rgb="FFF7F2E8"/>
      </x:patternFill>
    </x:fill>
    <x:fill>
      <x:patternFill patternType="solid">
        <x:fgColor rgb="FFB08A4A"/>
      </x:patternFill>
    </x:fill>
    <x:fill>
      <x:patternFill patternType="solid">
        <x:fgColor rgb="FFF3EFE8"/>
      </x:patternFill>
    </x:fill>
  </x:fills>
  <x:borders count="32">
    <x:border/>
    <x:border>
      <x:left style="thin">
        <x:color rgb="FFD7CFC3"/>
      </x:left>
      <x:top style="thin">
        <x:color rgb="FFD7CFC3"/>
      </x:top>
    </x:border>
    <x:border>
      <x:right style="thin">
        <x:color rgb="FFD7CFC3"/>
      </x:right>
      <x:top style="thin">
        <x:color rgb="FFD7CFC3"/>
      </x:top>
    </x:border>
    <x:border>
      <x:left style="thin">
        <x:color rgb="FFD7CFC3"/>
      </x:left>
      <x:bottom style="thin">
        <x:color rgb="FFD7CFC3"/>
      </x:bottom>
    </x:border>
    <x:border>
      <x:right style="thin">
        <x:color rgb="FFD7CFC3"/>
      </x:right>
      <x:bottom style="thin">
        <x:color rgb="FFD7CFC3"/>
      </x:bottom>
    </x:border>
    <x:border>
      <x:left style="thin">
        <x:color rgb="FFB08A4A"/>
      </x:left>
      <x:top style="thin">
        <x:color rgb="FFB08A4A"/>
      </x:top>
      <x:bottom style="thin">
        <x:color rgb="FFB08A4A"/>
      </x:bottom>
    </x:border>
    <x:border>
      <x:top style="thin">
        <x:color rgb="FFB08A4A"/>
      </x:top>
      <x:bottom style="thin">
        <x:color rgb="FFB08A4A"/>
      </x:bottom>
    </x:border>
    <x:border>
      <x:right style="thin">
        <x:color rgb="FFB08A4A"/>
      </x:right>
      <x:top style="thin">
        <x:color rgb="FFB08A4A"/>
      </x:top>
      <x:bottom style="thin">
        <x:color rgb="FFB08A4A"/>
      </x:bottom>
    </x:border>
    <x:border>
      <x:bottom style="thin">
        <x:color rgb="FFDDD6CC"/>
      </x:bottom>
    </x:border>
    <x:border>
      <x:top style="thin">
        <x:color rgb="FFDDD6CC"/>
      </x:top>
      <x:bottom style="thin">
        <x:color rgb="FFDDD6CC"/>
      </x:bottom>
    </x:border>
    <x:border>
      <x:left style="thin">
        <x:color rgb="FFD7CFC3"/>
      </x:left>
      <x:top style="thin">
        <x:color rgb="FFD7CFC3"/>
      </x:top>
      <x:bottom style="thin">
        <x:color rgb="FFB08A4A"/>
      </x:bottom>
    </x:border>
    <x:border>
      <x:top style="thin">
        <x:color rgb="FFD7CFC3"/>
      </x:top>
      <x:bottom style="thin">
        <x:color rgb="FFB08A4A"/>
      </x:bottom>
    </x:border>
    <x:border>
      <x:right style="thin">
        <x:color rgb="FFD7CFC3"/>
      </x:right>
      <x:top style="thin">
        <x:color rgb="FFD7CFC3"/>
      </x:top>
      <x:bottom style="thin">
        <x:color rgb="FFB08A4A"/>
      </x:bottom>
    </x:border>
    <x:border>
      <x:left style="thin">
        <x:color rgb="FFD7CFC3"/>
      </x:left>
      <x:bottom style="thin">
        <x:color rgb="FFDDD6CC"/>
      </x:bottom>
    </x:border>
    <x:border>
      <x:right style="thin">
        <x:color rgb="FFD7CFC3"/>
      </x:right>
      <x:bottom style="thin">
        <x:color rgb="FFDDD6CC"/>
      </x:bottom>
    </x:border>
    <x:border>
      <x:left style="thin">
        <x:color rgb="FFD7CFC3"/>
      </x:left>
      <x:top style="thin">
        <x:color rgb="FFDDD6CC"/>
      </x:top>
      <x:bottom style="thin">
        <x:color rgb="FFDDD6CC"/>
      </x:bottom>
    </x:border>
    <x:border>
      <x:right style="thin">
        <x:color rgb="FFD7CFC3"/>
      </x:right>
      <x:top style="thin">
        <x:color rgb="FFDDD6CC"/>
      </x:top>
      <x:bottom style="thin">
        <x:color rgb="FFDDD6CC"/>
      </x:bottom>
    </x:border>
    <x:border>
      <x:left style="thin">
        <x:color rgb="FFD7CFC3"/>
      </x:left>
      <x:top style="thin">
        <x:color rgb="FFDDD6CC"/>
      </x:top>
      <x:bottom style="thin">
        <x:color rgb="FFD7CFC3"/>
      </x:bottom>
    </x:border>
    <x:border>
      <x:top style="thin">
        <x:color rgb="FFDDD6CC"/>
      </x:top>
      <x:bottom style="thin">
        <x:color rgb="FFD7CFC3"/>
      </x:bottom>
    </x:border>
    <x:border>
      <x:right style="thin">
        <x:color rgb="FFD7CFC3"/>
      </x:right>
      <x:top style="thin">
        <x:color rgb="FFDDD6CC"/>
      </x:top>
      <x:bottom style="thin">
        <x:color rgb="FFD7CFC3"/>
      </x:bottom>
    </x:border>
    <x:border>
      <x:left style="thin">
        <x:color rgb="FFDDD6CC"/>
      </x:left>
      <x:top style="thin">
        <x:color rgb="FFDDD6CC"/>
      </x:top>
      <x:bottom style="thin">
        <x:color rgb="FFDDD6CC"/>
      </x:bottom>
    </x:border>
    <x:border>
      <x:right style="thin">
        <x:color rgb="FFDDD6CC"/>
      </x:right>
      <x:top style="thin">
        <x:color rgb="FFDDD6CC"/>
      </x:top>
      <x:bottom style="thin">
        <x:color rgb="FFDDD6CC"/>
      </x:bottom>
    </x:border>
    <x:border>
      <x:left style="thin">
        <x:color rgb="FFB08A4A"/>
      </x:left>
      <x:top style="thin">
        <x:color rgb="FFB08A4A"/>
      </x:top>
    </x:border>
    <x:border>
      <x:top style="thin">
        <x:color rgb="FFB08A4A"/>
      </x:top>
    </x:border>
    <x:border>
      <x:right style="thin">
        <x:color rgb="FFB08A4A"/>
      </x:right>
      <x:top style="thin">
        <x:color rgb="FFB08A4A"/>
      </x:top>
    </x:border>
    <x:border>
      <x:left style="thin">
        <x:color rgb="FFB08A4A"/>
      </x:left>
    </x:border>
    <x:border>
      <x:right style="thin">
        <x:color rgb="FFB08A4A"/>
      </x:right>
    </x:border>
    <x:border>
      <x:left style="thin">
        <x:color rgb="FFB08A4A"/>
      </x:left>
      <x:bottom style="thin">
        <x:color rgb="FFB08A4A"/>
      </x:bottom>
    </x:border>
    <x:border>
      <x:bottom style="thin">
        <x:color rgb="FFB08A4A"/>
      </x:bottom>
    </x:border>
    <x:border>
      <x:right style="thin">
        <x:color rgb="FFB08A4A"/>
      </x:right>
      <x:bottom style="thin">
        <x:color rgb="FFB08A4A"/>
      </x:bottom>
    </x:border>
    <x:border>
      <x:top style="thin">
        <x:color rgb="FFD7CFC3"/>
      </x:top>
    </x:border>
    <x:border>
      <x:bottom style="thin">
        <x:color rgb="FFD7CFC3"/>
      </x:bottom>
    </x:border>
  </x:borders>
  <x:cellStyleXfs count="1">
    <x:xf numFmtId="0" fontId="0" fillId="0" borderId="0"/>
  </x:cellStyleXfs>
  <x:cellXfs count="18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1" fillId="4" borderId="0"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2" xfId="0" applyNumberFormat="1" applyFont="1" applyFill="1" applyBorder="1"/>
    <x:xf numFmtId="0" fontId="5" fillId="4" borderId="3" xfId="0" applyNumberFormat="1" applyFont="1" applyFill="1" applyBorder="1"/>
    <x:xf numFmtId="0" fontId="5" fillId="4" borderId="4" xfId="0" applyNumberFormat="1" applyFont="1" applyFill="1" applyBorder="1"/>
    <x:xf numFmtId="200" fontId="5" fillId="4" borderId="1" xfId="0" applyNumberFormat="1" applyFont="1" applyFill="1" applyBorder="1"/>
    <x:xf numFmtId="200" fontId="5" fillId="4" borderId="2" xfId="0" applyNumberFormat="1" applyFont="1" applyFill="1" applyBorder="1"/>
    <x:xf numFmtId="200" fontId="5" fillId="4" borderId="3" xfId="0" applyNumberFormat="1" applyFont="1" applyFill="1" applyBorder="1"/>
    <x:xf numFmtId="200" fontId="5" fillId="4" borderId="4" xfId="0" applyNumberFormat="1" applyFont="1" applyFill="1" applyBorder="1"/>
    <x:xf numFmtId="200" fontId="5" fillId="4" borderId="1" xfId="0" applyNumberFormat="1" applyFont="1" applyFill="1" applyBorder="1" applyAlignment="1">
      <x:alignment horizontal="center"/>
    </x:xf>
    <x:xf numFmtId="200" fontId="5" fillId="4" borderId="2" xfId="0" applyNumberFormat="1" applyFont="1" applyFill="1" applyBorder="1" applyAlignment="1">
      <x:alignment horizontal="center"/>
    </x:xf>
    <x:xf numFmtId="200" fontId="5" fillId="4" borderId="3" xfId="0" applyNumberFormat="1" applyFont="1" applyFill="1" applyBorder="1" applyAlignment="1">
      <x:alignment horizontal="center"/>
    </x:xf>
    <x:xf numFmtId="200" fontId="5" fillId="4" borderId="4" xfId="0" applyNumberFormat="1" applyFont="1" applyFill="1" applyBorder="1" applyAlignment="1">
      <x:alignment horizontal="center"/>
    </x:xf>
    <x:xf numFmtId="200" fontId="5" fillId="4" borderId="1" xfId="0" applyNumberFormat="1" applyFont="1" applyFill="1" applyBorder="1" applyAlignment="1">
      <x:alignment horizontal="center" vertical="center"/>
    </x:xf>
    <x:xf numFmtId="200" fontId="5" fillId="4" borderId="2" xfId="0" applyNumberFormat="1" applyFont="1" applyFill="1" applyBorder="1" applyAlignment="1">
      <x:alignment horizontal="center" vertical="center"/>
    </x:xf>
    <x:xf numFmtId="200" fontId="5" fillId="4" borderId="3" xfId="0" applyNumberFormat="1" applyFont="1" applyFill="1" applyBorder="1" applyAlignment="1">
      <x:alignment horizontal="center" vertical="center"/>
    </x:xf>
    <x:xf numFmtId="200" fontId="5" fillId="4" borderId="4" xfId="0" applyNumberFormat="1" applyFont="1" applyFill="1" applyBorder="1" applyAlignment="1">
      <x:alignment horizontal="center" vertical="center"/>
    </x:xf>
    <x:xf numFmtId="201" fontId="5" fillId="4" borderId="1" xfId="0" applyNumberFormat="1" applyFont="1" applyFill="1" applyBorder="1"/>
    <x:xf numFmtId="201" fontId="5" fillId="4" borderId="2" xfId="0" applyNumberFormat="1" applyFont="1" applyFill="1" applyBorder="1"/>
    <x:xf numFmtId="201" fontId="5" fillId="4" borderId="3" xfId="0" applyNumberFormat="1" applyFont="1" applyFill="1" applyBorder="1"/>
    <x:xf numFmtId="201" fontId="5" fillId="4" borderId="4" xfId="0" applyNumberFormat="1" applyFont="1" applyFill="1" applyBorder="1"/>
    <x:xf numFmtId="201" fontId="5" fillId="4" borderId="1" xfId="0" applyNumberFormat="1" applyFont="1" applyFill="1" applyBorder="1" applyAlignment="1">
      <x:alignment horizontal="center"/>
    </x:xf>
    <x:xf numFmtId="201" fontId="5" fillId="4" borderId="2" xfId="0" applyNumberFormat="1" applyFont="1" applyFill="1" applyBorder="1" applyAlignment="1">
      <x:alignment horizontal="center"/>
    </x:xf>
    <x:xf numFmtId="201" fontId="5" fillId="4" borderId="3" xfId="0" applyNumberFormat="1" applyFont="1" applyFill="1" applyBorder="1" applyAlignment="1">
      <x:alignment horizontal="center"/>
    </x:xf>
    <x:xf numFmtId="201" fontId="5" fillId="4" borderId="4" xfId="0" applyNumberFormat="1" applyFont="1" applyFill="1" applyBorder="1" applyAlignment="1">
      <x:alignment horizontal="center"/>
    </x:xf>
    <x:xf numFmtId="201" fontId="5" fillId="4" borderId="1" xfId="0" applyNumberFormat="1" applyFont="1" applyFill="1" applyBorder="1" applyAlignment="1">
      <x:alignment horizontal="center" vertical="center"/>
    </x:xf>
    <x:xf numFmtId="201" fontId="5" fillId="4" borderId="2" xfId="0" applyNumberFormat="1" applyFont="1" applyFill="1" applyBorder="1" applyAlignment="1">
      <x:alignment horizontal="center" vertical="center"/>
    </x:xf>
    <x:xf numFmtId="201" fontId="5" fillId="4" borderId="3" xfId="0" applyNumberFormat="1" applyFont="1" applyFill="1" applyBorder="1" applyAlignment="1">
      <x:alignment horizontal="center" vertical="center"/>
    </x:xf>
    <x:xf numFmtId="201" fontId="5" fillId="4" borderId="4" xfId="0" applyNumberFormat="1" applyFont="1" applyFill="1" applyBorder="1" applyAlignment="1">
      <x:alignment horizontal="center" vertical="center"/>
    </x:xf>
    <x:xf numFmtId="0" fontId="1"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center"/>
    </x:xf>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5" xfId="0" applyNumberFormat="1" applyFont="1" applyFill="1" applyBorder="1" applyAlignment="1">
      <x:alignment horizontal="center" wrapText="1"/>
    </x:xf>
    <x:xf numFmtId="0" fontId="6" fillId="5" borderId="6" xfId="0" applyNumberFormat="1" applyFont="1" applyFill="1" applyBorder="1" applyAlignment="1">
      <x:alignment horizontal="center" wrapText="1"/>
    </x:xf>
    <x:xf numFmtId="0" fontId="6" fillId="5" borderId="7" xfId="0" applyNumberFormat="1" applyFont="1" applyFill="1" applyBorder="1" applyAlignment="1">
      <x:alignment horizontal="center" wrapText="1"/>
    </x:xf>
    <x:xf numFmtId="0" fontId="6" fillId="5" borderId="5" xfId="0" applyNumberFormat="1" applyFont="1" applyFill="1" applyBorder="1" applyAlignment="1">
      <x:alignment horizontal="center" vertical="center" wrapText="1"/>
    </x:xf>
    <x:xf numFmtId="0" fontId="6" fillId="5" borderId="6" xfId="0" applyNumberFormat="1" applyFont="1" applyFill="1" applyBorder="1" applyAlignment="1">
      <x:alignment horizontal="center" vertical="center" wrapText="1"/>
    </x:xf>
    <x:xf numFmtId="0" fontId="6" fillId="5" borderId="7" xfId="0" applyNumberFormat="1" applyFont="1" applyFill="1" applyBorder="1" applyAlignment="1">
      <x:alignment horizontal="center" vertical="center" wrapText="1"/>
    </x:xf>
    <x:xf numFmtId="0" fontId="7" fillId="0" borderId="0"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6" fillId="5" borderId="10" xfId="0" applyNumberFormat="1" applyFont="1" applyFill="1" applyBorder="1" applyAlignment="1">
      <x:alignment horizontal="center" vertical="center" wrapText="1"/>
    </x:xf>
    <x:xf numFmtId="0" fontId="6" fillId="5" borderId="11" xfId="0" applyNumberFormat="1" applyFont="1" applyFill="1" applyBorder="1" applyAlignment="1">
      <x:alignment horizontal="center" vertical="center" wrapText="1"/>
    </x:xf>
    <x:xf numFmtId="0" fontId="6" fillId="5" borderId="12" xfId="0" applyNumberFormat="1" applyFont="1" applyFill="1" applyBorder="1" applyAlignment="1">
      <x:alignment horizontal="center" vertical="center" wrapText="1"/>
    </x:xf>
    <x:xf numFmtId="0" fontId="7" fillId="0" borderId="13"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7" fillId="4" borderId="0" xfId="0" applyNumberFormat="1" applyFont="1" applyFill="1" applyBorder="1"/>
    <x:xf numFmtId="0" fontId="7" fillId="4" borderId="20" xfId="0" applyNumberFormat="1" applyFont="1" applyFill="1" applyBorder="1"/>
    <x:xf numFmtId="0" fontId="7" fillId="4" borderId="9" xfId="0" applyNumberFormat="1" applyFont="1" applyFill="1" applyBorder="1"/>
    <x:xf numFmtId="0" fontId="7" fillId="4" borderId="21" xfId="0" applyNumberFormat="1" applyFont="1" applyFill="1" applyBorder="1"/>
    <x:xf numFmtId="0" fontId="7" fillId="4" borderId="20"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21" xfId="0" applyNumberFormat="1" applyFont="1" applyFill="1" applyBorder="1" applyAlignment="1">
      <x:alignment wrapText="1"/>
    </x:xf>
    <x:xf numFmtId="0" fontId="7" fillId="4" borderId="20" xfId="0" applyNumberFormat="1" applyFont="1" applyFill="1" applyBorder="1" applyAlignment="1">
      <x:alignment vertical="center" wrapText="1"/>
    </x:xf>
    <x:xf numFmtId="0" fontId="7" fillId="4" borderId="9" xfId="0" applyNumberFormat="1" applyFont="1" applyFill="1" applyBorder="1" applyAlignment="1">
      <x:alignment vertical="center" wrapText="1"/>
    </x:xf>
    <x:xf numFmtId="0" fontId="7" fillId="4" borderId="21" xfId="0" applyNumberFormat="1" applyFont="1" applyFill="1" applyBorder="1" applyAlignment="1">
      <x:alignment vertical="center" wrapText="1"/>
    </x:xf>
    <x:xf numFmtId="0" fontId="1" fillId="6" borderId="0" xfId="0" applyNumberFormat="1" applyFont="1" applyFill="1" applyBorder="1"/>
    <x:xf numFmtId="0" fontId="7" fillId="6" borderId="0" xfId="0" applyNumberFormat="1" applyFont="1" applyFill="1" applyBorder="1"/>
    <x:xf numFmtId="0" fontId="7" fillId="6" borderId="20" xfId="0" applyNumberFormat="1" applyFont="1" applyFill="1" applyBorder="1"/>
    <x:xf numFmtId="0" fontId="7" fillId="6" borderId="9" xfId="0" applyNumberFormat="1" applyFont="1" applyFill="1" applyBorder="1"/>
    <x:xf numFmtId="0" fontId="7" fillId="6" borderId="21" xfId="0" applyNumberFormat="1" applyFont="1" applyFill="1" applyBorder="1"/>
    <x:xf numFmtId="0" fontId="7" fillId="6" borderId="20"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21" xfId="0" applyNumberFormat="1" applyFont="1" applyFill="1" applyBorder="1" applyAlignment="1">
      <x:alignment wrapText="1"/>
    </x:xf>
    <x:xf numFmtId="0" fontId="7" fillId="6" borderId="20"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21"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9" fillId="4" borderId="0" xfId="0" applyNumberFormat="1" applyFont="1" applyFill="1" applyBorder="1"/>
    <x:xf numFmtId="0" fontId="9" fillId="4" borderId="22" xfId="0" applyNumberFormat="1" applyFont="1" applyFill="1" applyBorder="1"/>
    <x:xf numFmtId="0" fontId="9" fillId="4" borderId="23" xfId="0" applyNumberFormat="1" applyFont="1" applyFill="1" applyBorder="1"/>
    <x:xf numFmtId="0" fontId="9" fillId="4" borderId="24" xfId="0" applyNumberFormat="1" applyFont="1" applyFill="1" applyBorder="1"/>
    <x:xf numFmtId="0" fontId="9" fillId="4" borderId="25" xfId="0" applyNumberFormat="1" applyFont="1" applyFill="1" applyBorder="1"/>
    <x:xf numFmtId="0" fontId="9" fillId="4" borderId="26" xfId="0" applyNumberFormat="1" applyFont="1" applyFill="1" applyBorder="1"/>
    <x:xf numFmtId="0" fontId="9" fillId="4" borderId="27" xfId="0" applyNumberFormat="1" applyFont="1" applyFill="1" applyBorder="1"/>
    <x:xf numFmtId="0" fontId="9" fillId="4" borderId="28" xfId="0" applyNumberFormat="1" applyFont="1" applyFill="1" applyBorder="1"/>
    <x:xf numFmtId="0" fontId="9" fillId="4" borderId="29" xfId="0" applyNumberFormat="1" applyFont="1" applyFill="1" applyBorder="1"/>
    <x:xf numFmtId="0" fontId="9" fillId="4" borderId="22" xfId="0" applyNumberFormat="1" applyFont="1" applyFill="1" applyBorder="1" applyAlignment="1">
      <x:alignment wrapText="1"/>
    </x:xf>
    <x:xf numFmtId="0" fontId="9" fillId="4" borderId="23" xfId="0" applyNumberFormat="1" applyFont="1" applyFill="1" applyBorder="1" applyAlignment="1">
      <x:alignment wrapText="1"/>
    </x:xf>
    <x:xf numFmtId="0" fontId="9" fillId="4" borderId="24" xfId="0" applyNumberFormat="1" applyFont="1" applyFill="1" applyBorder="1" applyAlignment="1">
      <x:alignment wrapText="1"/>
    </x:xf>
    <x:xf numFmtId="0" fontId="9" fillId="4" borderId="25" xfId="0" applyNumberFormat="1" applyFont="1" applyFill="1" applyBorder="1" applyAlignment="1">
      <x:alignment wrapText="1"/>
    </x:xf>
    <x:xf numFmtId="0" fontId="9" fillId="4" borderId="0" xfId="0" applyNumberFormat="1" applyFont="1" applyFill="1" applyBorder="1" applyAlignment="1">
      <x:alignment wrapText="1"/>
    </x:xf>
    <x:xf numFmtId="0" fontId="9" fillId="4" borderId="26" xfId="0" applyNumberFormat="1" applyFont="1" applyFill="1" applyBorder="1" applyAlignment="1">
      <x:alignment wrapText="1"/>
    </x:xf>
    <x:xf numFmtId="0" fontId="9" fillId="4" borderId="27" xfId="0" applyNumberFormat="1" applyFont="1" applyFill="1" applyBorder="1" applyAlignment="1">
      <x:alignment wrapText="1"/>
    </x:xf>
    <x:xf numFmtId="0" fontId="9" fillId="4" borderId="28" xfId="0" applyNumberFormat="1" applyFont="1" applyFill="1" applyBorder="1" applyAlignment="1">
      <x:alignment wrapText="1"/>
    </x:xf>
    <x:xf numFmtId="0" fontId="9" fillId="4" borderId="29" xfId="0" applyNumberFormat="1" applyFont="1" applyFill="1" applyBorder="1" applyAlignment="1">
      <x:alignment wrapText="1"/>
    </x:xf>
    <x:xf numFmtId="0" fontId="9" fillId="4" borderId="22" xfId="0" applyNumberFormat="1" applyFont="1" applyFill="1" applyBorder="1" applyAlignment="1">
      <x:alignment horizontal="left" wrapText="1"/>
    </x:xf>
    <x:xf numFmtId="0" fontId="9" fillId="4" borderId="23" xfId="0" applyNumberFormat="1" applyFont="1" applyFill="1" applyBorder="1" applyAlignment="1">
      <x:alignment horizontal="left" wrapText="1"/>
    </x:xf>
    <x:xf numFmtId="0" fontId="9" fillId="4" borderId="24" xfId="0" applyNumberFormat="1" applyFont="1" applyFill="1" applyBorder="1" applyAlignment="1">
      <x:alignment horizontal="left" wrapText="1"/>
    </x:xf>
    <x:xf numFmtId="0" fontId="9" fillId="4" borderId="25" xfId="0" applyNumberFormat="1" applyFont="1" applyFill="1" applyBorder="1" applyAlignment="1">
      <x:alignment horizontal="left" wrapText="1"/>
    </x:xf>
    <x:xf numFmtId="0" fontId="9" fillId="4" borderId="0" xfId="0" applyNumberFormat="1" applyFont="1" applyFill="1" applyBorder="1" applyAlignment="1">
      <x:alignment horizontal="left" wrapText="1"/>
    </x:xf>
    <x:xf numFmtId="0" fontId="9" fillId="4" borderId="26" xfId="0" applyNumberFormat="1" applyFont="1" applyFill="1" applyBorder="1" applyAlignment="1">
      <x:alignment horizontal="left" wrapText="1"/>
    </x:xf>
    <x:xf numFmtId="0" fontId="9" fillId="4" borderId="27" xfId="0" applyNumberFormat="1" applyFont="1" applyFill="1" applyBorder="1" applyAlignment="1">
      <x:alignment horizontal="left" wrapText="1"/>
    </x:xf>
    <x:xf numFmtId="0" fontId="9" fillId="4" borderId="28" xfId="0" applyNumberFormat="1" applyFont="1" applyFill="1" applyBorder="1" applyAlignment="1">
      <x:alignment horizontal="left" wrapText="1"/>
    </x:xf>
    <x:xf numFmtId="0" fontId="9" fillId="4" borderId="29" xfId="0" applyNumberFormat="1" applyFont="1" applyFill="1" applyBorder="1" applyAlignment="1">
      <x:alignment horizontal="left" wrapText="1"/>
    </x:xf>
    <x:xf numFmtId="0" fontId="9" fillId="4" borderId="22" xfId="0" applyNumberFormat="1" applyFont="1" applyFill="1" applyBorder="1" applyAlignment="1">
      <x:alignment horizontal="left" vertical="center" wrapText="1"/>
    </x:xf>
    <x:xf numFmtId="0" fontId="9" fillId="4" borderId="23" xfId="0" applyNumberFormat="1" applyFont="1" applyFill="1" applyBorder="1" applyAlignment="1">
      <x:alignment horizontal="left" vertical="center" wrapText="1"/>
    </x:xf>
    <x:xf numFmtId="0" fontId="9" fillId="4" borderId="24" xfId="0" applyNumberFormat="1" applyFont="1" applyFill="1" applyBorder="1" applyAlignment="1">
      <x:alignment horizontal="left" vertical="center" wrapText="1"/>
    </x:xf>
    <x:xf numFmtId="0" fontId="9" fillId="4" borderId="25"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9" fillId="4" borderId="26" xfId="0" applyNumberFormat="1" applyFont="1" applyFill="1" applyBorder="1" applyAlignment="1">
      <x:alignment horizontal="left" vertical="center" wrapText="1"/>
    </x:xf>
    <x:xf numFmtId="0" fontId="9" fillId="4" borderId="27" xfId="0" applyNumberFormat="1" applyFont="1" applyFill="1" applyBorder="1" applyAlignment="1">
      <x:alignment horizontal="left" vertical="center" wrapText="1"/>
    </x:xf>
    <x:xf numFmtId="0" fontId="9" fillId="4" borderId="28" xfId="0" applyNumberFormat="1" applyFont="1" applyFill="1" applyBorder="1" applyAlignment="1">
      <x:alignment horizontal="left" vertical="center" wrapText="1"/>
    </x:xf>
    <x:xf numFmtId="0" fontId="9" fillId="4" borderId="29" xfId="0" applyNumberFormat="1" applyFont="1" applyFill="1" applyBorder="1" applyAlignment="1">
      <x:alignment horizontal="left" vertical="center" wrapText="1"/>
    </x:xf>
    <x:xf numFmtId="0" fontId="10" fillId="5" borderId="0" xfId="0" applyNumberFormat="1" applyFont="1" applyFill="1" applyBorder="1"/>
    <x:xf numFmtId="0" fontId="10" fillId="5" borderId="0" xfId="0" applyNumberFormat="1" applyFont="1" applyFill="1" applyBorder="1" applyAlignment="1">
      <x:alignment horizontal="center"/>
    </x:xf>
    <x:xf numFmtId="0" fontId="10" fillId="5" borderId="0" xfId="0" applyNumberFormat="1" applyFont="1" applyFill="1" applyBorder="1" applyAlignment="1">
      <x:alignment horizontal="center" vertical="center"/>
    </x:xf>
    <x:xf numFmtId="0" fontId="8" fillId="4" borderId="0" xfId="0" applyNumberFormat="1" applyFont="1" applyFill="1" applyBorder="1"/>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11" fillId="6" borderId="0" xfId="0" applyNumberFormat="1" applyFont="1" applyFill="1" applyBorder="1"/>
    <x:xf numFmtId="0" fontId="11" fillId="6" borderId="1" xfId="0" applyNumberFormat="1" applyFont="1" applyFill="1" applyBorder="1"/>
    <x:xf numFmtId="0" fontId="11" fillId="6" borderId="30" xfId="0" applyNumberFormat="1" applyFont="1" applyFill="1" applyBorder="1"/>
    <x:xf numFmtId="0" fontId="11" fillId="6" borderId="2" xfId="0" applyNumberFormat="1" applyFont="1" applyFill="1" applyBorder="1"/>
    <x:xf numFmtId="0" fontId="11" fillId="6" borderId="3" xfId="0" applyNumberFormat="1" applyFont="1" applyFill="1" applyBorder="1"/>
    <x:xf numFmtId="0" fontId="11" fillId="6" borderId="31" xfId="0" applyNumberFormat="1" applyFont="1" applyFill="1" applyBorder="1"/>
    <x:xf numFmtId="0" fontId="11" fillId="6" borderId="4" xfId="0" applyNumberFormat="1" applyFont="1" applyFill="1" applyBorder="1"/>
    <x:xf numFmtId="0" fontId="11" fillId="6" borderId="1" xfId="0" applyNumberFormat="1" applyFont="1" applyFill="1" applyBorder="1" applyAlignment="1">
      <x:alignment wrapText="1"/>
    </x:xf>
    <x:xf numFmtId="0" fontId="11" fillId="6" borderId="30" xfId="0" applyNumberFormat="1" applyFont="1" applyFill="1" applyBorder="1" applyAlignment="1">
      <x:alignment wrapText="1"/>
    </x:xf>
    <x:xf numFmtId="0" fontId="11" fillId="6" borderId="2" xfId="0" applyNumberFormat="1" applyFont="1" applyFill="1" applyBorder="1" applyAlignment="1">
      <x:alignment wrapText="1"/>
    </x:xf>
    <x:xf numFmtId="0" fontId="11" fillId="6" borderId="3" xfId="0" applyNumberFormat="1" applyFont="1" applyFill="1" applyBorder="1" applyAlignment="1">
      <x:alignment wrapText="1"/>
    </x:xf>
    <x:xf numFmtId="0" fontId="11" fillId="6" borderId="31" xfId="0" applyNumberFormat="1" applyFont="1" applyFill="1" applyBorder="1" applyAlignment="1">
      <x:alignment wrapText="1"/>
    </x:xf>
    <x:xf numFmtId="0" fontId="11" fillId="6" borderId="4" xfId="0" applyNumberFormat="1" applyFont="1" applyFill="1" applyBorder="1" applyAlignment="1">
      <x:alignment wrapText="1"/>
    </x:xf>
    <x:xf numFmtId="0" fontId="11" fillId="6" borderId="1" xfId="0" applyNumberFormat="1" applyFont="1" applyFill="1" applyBorder="1" applyAlignment="1">
      <x:alignment vertical="center" wrapText="1"/>
    </x:xf>
    <x:xf numFmtId="0" fontId="11" fillId="6" borderId="30" xfId="0" applyNumberFormat="1" applyFont="1" applyFill="1" applyBorder="1" applyAlignment="1">
      <x:alignment vertical="center" wrapText="1"/>
    </x:xf>
    <x:xf numFmtId="0" fontId="11" fillId="6" borderId="2" xfId="0" applyNumberFormat="1" applyFont="1" applyFill="1" applyBorder="1" applyAlignment="1">
      <x:alignment vertical="center" wrapText="1"/>
    </x:xf>
    <x:xf numFmtId="0" fontId="11" fillId="6" borderId="3" xfId="0" applyNumberFormat="1" applyFont="1" applyFill="1" applyBorder="1" applyAlignment="1">
      <x:alignment vertical="center" wrapText="1"/>
    </x:xf>
    <x:xf numFmtId="0" fontId="11" fillId="6" borderId="31"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0" fillId="2" borderId="0" xfId="0" applyNumberFormat="1" applyFont="1" applyFill="1" applyBorder="1"/>
    <x:xf numFmtId="0" fontId="0" fillId="5" borderId="0" xfId="0" applyNumberFormat="1" applyFont="1" applyFill="1" applyBorder="1"/>
    <x:xf numFmtId="0" fontId="7" fillId="0" borderId="8" xfId="0" applyNumberFormat="1" applyFont="1" applyFill="1" applyBorder="1" applyAlignment="1">
      <x:alignment horizontal="center" vertical="top" wrapText="1"/>
    </x:xf>
    <x:xf numFmtId="0" fontId="7" fillId="0" borderId="9" xfId="0" applyNumberFormat="1" applyFont="1" applyFill="1" applyBorder="1" applyAlignment="1">
      <x:alignment horizontal="center" vertical="top" wrapText="1"/>
    </x:xf>
    <x:xf numFmtId="202" fontId="7" fillId="0" borderId="8" xfId="0" applyNumberFormat="1" applyFont="1" applyFill="1" applyBorder="1" applyAlignment="1">
      <x:alignment horizontal="center" vertical="top" wrapText="1"/>
    </x:xf>
    <x:xf numFmtId="202" fontId="7" fillId="0" borderId="9" xfId="0" applyNumberFormat="1" applyFont="1" applyFill="1" applyBorder="1" applyAlignment="1">
      <x:alignment horizontal="center" vertical="top" wrapText="1"/>
    </x:xf>
    <x:xf numFmtId="0" fontId="7" fillId="0" borderId="8" xfId="0" applyNumberFormat="1" applyFont="1" applyFill="1" applyBorder="1" applyAlignment="1">
      <x:alignment horizontal="left" vertical="top" wrapText="1"/>
    </x:xf>
    <x:xf numFmtId="0" fontId="7" fillId="0" borderId="9" xfId="0" applyNumberFormat="1" applyFont="1" applyFill="1" applyBorder="1" applyAlignment="1">
      <x:alignment horizontal="lef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203" fontId="7" fillId="0" borderId="8" xfId="0" applyNumberFormat="1" applyFont="1" applyFill="1" applyBorder="1" applyAlignment="1">
      <x:alignment vertical="top" wrapText="1"/>
    </x:xf>
    <x:xf numFmtId="203" fontId="7" fillId="0" borderId="9" xfId="0" applyNumberFormat="1" applyFont="1" applyFill="1" applyBorder="1" applyAlignment="1">
      <x:alignment vertical="top" wrapText="1"/>
    </x:xf>
    <x:xf numFmtId="204" fontId="7" fillId="0" borderId="8" xfId="0" applyNumberFormat="1" applyFont="1" applyFill="1" applyBorder="1" applyAlignment="1">
      <x:alignment vertical="top" wrapText="1"/>
    </x:xf>
    <x:xf numFmtId="204" fontId="7" fillId="0" borderId="9" xfId="0" applyNumberFormat="1" applyFont="1" applyFill="1" applyBorder="1" applyAlignment="1">
      <x:alignment vertical="top" wrapText="1"/>
    </x:xf>
    <x:xf numFmtId="205" fontId="7" fillId="0" borderId="8" xfId="0" applyNumberFormat="1" applyFont="1" applyFill="1" applyBorder="1" applyAlignment="1">
      <x:alignment vertical="top" wrapText="1"/>
    </x:xf>
    <x:xf numFmtId="205" fontId="7" fillId="0" borderId="9"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0" fillId="6" borderId="0" xfId="0" applyNumberFormat="1" applyFont="1" applyFill="1" applyBorder="1"/>
  </x:cellXfs>
  <x:cellStyles count="1">
    <x:cellStyle name="Normal" xfId="0"/>
  </x:cellStyles>
  <x:dxfs count="4">
    <x:dxf>
      <x:font>
        <x:b/>
        <x:color rgb="FF2F6B48"/>
      </x:font>
      <x:fill>
        <x:patternFill patternType="solid">
          <x:bgColor rgb="FFDDEBDD"/>
        </x:patternFill>
      </x:fill>
    </x:dxf>
    <x:dxf>
      <x:font>
        <x:b/>
        <x:color rgb="FF7A5A00"/>
      </x:font>
      <x:fill>
        <x:patternFill patternType="solid">
          <x:bgColor rgb="FFF5E8C9"/>
        </x:patternFill>
      </x:fill>
    </x:dxf>
    <x:dxf>
      <x:font>
        <x:b/>
        <x:color rgb="FF355A7A"/>
      </x:font>
      <x:fill>
        <x:patternFill patternType="solid">
          <x:bgColor rgb="FFE5EDF6"/>
        </x:patternFill>
      </x:fill>
    </x:dxf>
    <x:dxf>
      <x:font>
        <x:b/>
        <x:color rgb="FF111216"/>
      </x:font>
      <x:fill>
        <x:patternFill patternType="solid">
          <x:bgColor rgb="FFEFE2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1a92468f0640c8" /><Relationship Type="http://schemas.openxmlformats.org/officeDocument/2006/relationships/theme" Target="/xl/theme/theme1.xml" Id="R5a625127323f4e77" /><Relationship Type="http://schemas.openxmlformats.org/officeDocument/2006/relationships/sharedStrings" Target="/xl/sharedStrings.xml" Id="R9792595246314143" /><Relationship Type="http://schemas.openxmlformats.org/officeDocument/2006/relationships/worksheet" Target="/xl/worksheets/sheet1.xml" Id="Ra53fa1bfa23e410e" /><Relationship Type="http://schemas.openxmlformats.org/officeDocument/2006/relationships/worksheet" Target="/xl/worksheets/sheet2.xml" Id="Rac93f867dd3e4500" /><Relationship Type="http://schemas.openxmlformats.org/officeDocument/2006/relationships/worksheet" Target="/xl/worksheets/sheet3.xml" Id="R594d1cc5f3644ea2" /><Relationship Type="http://schemas.openxmlformats.org/officeDocument/2006/relationships/worksheet" Target="/xl/worksheets/sheet4.xml" Id="Rb909ea7d8cb04727" /><Relationship Type="http://schemas.openxmlformats.org/officeDocument/2006/relationships/worksheet" Target="/xl/worksheets/sheet5.xml" Id="R3c5f854b486a48dd" /></Relationships>
</file>

<file path=xl/tables/table1.xml><?xml version="1.0" encoding="utf-8"?>
<x:table xmlns:x="http://schemas.openxmlformats.org/spreadsheetml/2006/main" id="1" name="BrandLaunchPlan" displayName="BrandLaunchPlan" ref="A4:K34" headerRowCount="1" totalsRowCount="0" totalsRowShown="0">
  <x:autoFilter ref="A4:K34"/>
  <x:tableColumns count="11">
    <x:tableColumn id="1" name="Day"/>
    <x:tableColumn id="2" name="Date"/>
    <x:tableColumn id="3" name="Platform"/>
    <x:tableColumn id="4" name="Action"/>
    <x:tableColumn id="5" name="Series"/>
    <x:tableColumn id="6" name="Format"/>
    <x:tableColumn id="7" name="Topic / task"/>
    <x:tableColumn id="8" name="Ready-to-use draft or prompt"/>
    <x:tableColumn id="9" name="Simple production steps"/>
    <x:tableColumn id="10" name="Call to action"/>
    <x:tableColumn id="11" name="Status"/>
  </x:tableColumns>
  <x:tableStyleInfo name="TableStyleMedium2" showFirstColumn="0" showLastColumn="0" showRowStripes="1" showColumnStripes="0"/>
</x:table>
</file>

<file path=xl/tables/table2.xml><?xml version="1.0" encoding="utf-8"?>
<x:table xmlns:x="http://schemas.openxmlformats.org/spreadsheetml/2006/main" id="2" name="ContentPromptBank" displayName="ContentPromptBank" ref="A4:E36" headerRowCount="1" totalsRowCount="0" totalsRowShown="0">
  <x:autoFilter ref="A4:E36"/>
  <x:tableColumns count="5">
    <x:tableColumn id="1" name="Series"/>
    <x:tableColumn id="2" name="Prompt"/>
    <x:tableColumn id="3" name="Best platform"/>
    <x:tableColumn id="4" name="Easy format"/>
    <x:tableColumn id="5" name="Starter line"/>
  </x:tableColumns>
  <x:tableStyleInfo name="TableStyleMedium2" showFirstColumn="0" showLastColumn="0" showRowStripes="1" showColumnStripes="0"/>
</x:table>
</file>

<file path=xl/tables/table3.xml><?xml version="1.0" encoding="utf-8"?>
<x:table xmlns:x="http://schemas.openxmlformats.org/spreadsheetml/2006/main" id="3" name="ContentPerformanceTracker" displayName="ContentPerformanceTracker" ref="A5:P35" headerRowCount="1" totalsRowCount="0" totalsRowShown="0">
  <x:autoFilter ref="A5:P35"/>
  <x:tableColumns count="16">
    <x:tableColumn id="1" name="Date"/>
    <x:tableColumn id="2" name="Platform"/>
    <x:tableColumn id="3" name="Post / topic"/>
    <x:tableColumn id="4" name="Format"/>
    <x:tableColumn id="5" name="Views / reach"/>
    <x:tableColumn id="6" name="Likes"/>
    <x:tableColumn id="7" name="Replies / comments"/>
    <x:tableColumn id="8" name="Shares / reposts"/>
    <x:tableColumn id="9" name="Saves / bookmarks"/>
    <x:tableColumn id="10" name="Profile visits"/>
    <x:tableColumn id="11" name="New followers"/>
    <x:tableColumn id="12" name="Partnership enquiries"/>
    <x:tableColumn id="13" name="Total engagement"/>
    <x:tableColumn id="14" name="Engagement rate"/>
    <x:tableColumn id="15" name="Profile conversion"/>
    <x:tableColumn id="16" name="Learning / next ste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0fd69f86d548c5" /></Relationships>
</file>

<file path=xl/worksheets/_rels/sheet3.xml.rels>&#65279;<?xml version="1.0" encoding="utf-8"?><Relationships xmlns="http://schemas.openxmlformats.org/package/2006/relationships"><Relationship Type="http://schemas.openxmlformats.org/officeDocument/2006/relationships/table" Target="/xl/tables/table2.xml" Id="R7e254bdebafd4379" /></Relationships>
</file>

<file path=xl/worksheets/_rels/sheet4.xml.rels>&#65279;<?xml version="1.0" encoding="utf-8"?><Relationships xmlns="http://schemas.openxmlformats.org/package/2006/relationships"><Relationship Type="http://schemas.openxmlformats.org/officeDocument/2006/relationships/table" Target="/xl/tables/table3.xml" Id="R066e65383dd541f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4" hidden="0" customWidth="1"/>
    <x:col min="4" max="4" width="18" hidden="0" customWidth="1"/>
    <x:col min="5" max="5" width="4" hidden="0" customWidth="1"/>
    <x:col min="6" max="6" width="20" hidden="0" customWidth="1"/>
    <x:col min="7" max="7" width="20" hidden="0" customWidth="1"/>
    <x:col min="8" max="8" width="20" hidden="0" customWidth="1"/>
  </x:cols>
  <x:sheetData>
    <x:row r="1" ht="36" customHeight="1">
      <x:c r="A1" s="5" t="str">
        <x:v>PRINCE UBAKAEZE  |  30-DAY BRAND LAUNCH</x:v>
      </x:c>
      <x:c r="B1" s="5" t="str">
        <x:v>PRINCE UBAKAEZE  |  30-DAY BRAND LAUNCH</x:v>
      </x:c>
      <x:c r="C1" s="5" t="str">
        <x:v>PRINCE UBAKAEZE  |  30-DAY BRAND LAUNCH</x:v>
      </x:c>
      <x:c r="D1" s="5" t="str">
        <x:v>PRINCE UBAKAEZE  |  30-DAY BRAND LAUNCH</x:v>
      </x:c>
      <x:c r="E1" s="5" t="str">
        <x:v>PRINCE UBAKAEZE  |  30-DAY BRAND LAUNCH</x:v>
      </x:c>
      <x:c r="F1" s="5" t="str">
        <x:v>PRINCE UBAKAEZE  |  30-DAY BRAND LAUNCH</x:v>
      </x:c>
      <x:c r="G1" s="5" t="str">
        <x:v>PRINCE UBAKAEZE  |  30-DAY BRAND LAUNCH</x:v>
      </x:c>
      <x:c r="H1" s="5" t="str">
        <x:v>PRINCE UBAKAEZE  |  30-DAY BRAND LAUNCH</x:v>
      </x:c>
    </x:row>
    <x:row r="2" ht="36" customHeight="1">
      <x:c r="A2" s="5" t="str">
        <x:v>PRINCE UBAKAEZE  |  30-DAY BRAND LAUNCH</x:v>
      </x:c>
      <x:c r="B2" s="5" t="str">
        <x:v>PRINCE UBAKAEZE  |  30-DAY BRAND LAUNCH</x:v>
      </x:c>
      <x:c r="C2" s="5" t="str">
        <x:v>PRINCE UBAKAEZE  |  30-DAY BRAND LAUNCH</x:v>
      </x:c>
      <x:c r="D2" s="5" t="str">
        <x:v>PRINCE UBAKAEZE  |  30-DAY BRAND LAUNCH</x:v>
      </x:c>
      <x:c r="E2" s="5" t="str">
        <x:v>PRINCE UBAKAEZE  |  30-DAY BRAND LAUNCH</x:v>
      </x:c>
      <x:c r="F2" s="5" t="str">
        <x:v>PRINCE UBAKAEZE  |  30-DAY BRAND LAUNCH</x:v>
      </x:c>
      <x:c r="G2" s="5" t="str">
        <x:v>PRINCE UBAKAEZE  |  30-DAY BRAND LAUNCH</x:v>
      </x:c>
      <x:c r="H2" s="5" t="str">
        <x:v>PRINCE UBAKAEZE  |  30-DAY BRAND LAUNCH</x:v>
      </x:c>
    </x:row>
    <x:row r="3" ht="24" customHeight="1">
      <x:c r="A3" s="8" t="str">
        <x:v>IN — Inner Nobility  ·  Aesthetic care  ·  Technology  ·  Client experience  ·  Mastery</x:v>
      </x:c>
      <x:c r="B3" s="8" t="str">
        <x:v>IN — Inner Nobility  ·  Aesthetic care  ·  Technology  ·  Client experience  ·  Mastery</x:v>
      </x:c>
      <x:c r="C3" s="8" t="str">
        <x:v>IN — Inner Nobility  ·  Aesthetic care  ·  Technology  ·  Client experience  ·  Mastery</x:v>
      </x:c>
      <x:c r="D3" s="8" t="str">
        <x:v>IN — Inner Nobility  ·  Aesthetic care  ·  Technology  ·  Client experience  ·  Mastery</x:v>
      </x:c>
      <x:c r="E3" s="8" t="str">
        <x:v>IN — Inner Nobility  ·  Aesthetic care  ·  Technology  ·  Client experience  ·  Mastery</x:v>
      </x:c>
      <x:c r="F3" s="8" t="str">
        <x:v>IN — Inner Nobility  ·  Aesthetic care  ·  Technology  ·  Client experience  ·  Mastery</x:v>
      </x:c>
      <x:c r="G3" s="8" t="str">
        <x:v>IN — Inner Nobility  ·  Aesthetic care  ·  Technology  ·  Client experience  ·  Mastery</x:v>
      </x:c>
      <x:c r="H3" s="8" t="str">
        <x:v>IN — Inner Nobility  ·  Aesthetic care  ·  Technology  ·  Client experience  ·  Mastery</x:v>
      </x:c>
    </x:row>
    <x:row r="4">
      <x:c r="A4" s="1"/>
      <x:c r="B4" s="1"/>
      <x:c r="C4" s="1"/>
      <x:c r="D4" s="1"/>
      <x:c r="E4" s="1"/>
      <x:c r="F4" s="1"/>
      <x:c r="G4" s="1"/>
      <x:c r="H4" s="1"/>
    </x:row>
    <x:row r="5">
      <x:c r="A5" s="12" t="str">
        <x:v>PLANNED ACTIONS</x:v>
      </x:c>
      <x:c r="B5" s="12" t="str">
        <x:v>PLANNED ACTIONS</x:v>
      </x:c>
      <x:c r="C5" s="12" t="str">
        <x:v>COMPLETED</x:v>
      </x:c>
      <x:c r="D5" s="12" t="str">
        <x:v>COMPLETED</x:v>
      </x:c>
      <x:c r="E5" s="12" t="str">
        <x:v>COMPLETION RATE</x:v>
      </x:c>
      <x:c r="F5" s="12" t="str">
        <x:v>COMPLETION RATE</x:v>
      </x:c>
      <x:c r="G5" s="12" t="str">
        <x:v>PUBLISH ACTIONS</x:v>
      </x:c>
      <x:c r="H5" s="12" t="str">
        <x:v>PUBLISH ACTIONS</x:v>
      </x:c>
    </x:row>
    <x:row r="6">
      <x:c r="A6" s="27" t="n">
        <x:f>COUNTA('30-DAY PLAN'!$A$5:$A$34)</x:f>
        <x:v>30</x:v>
      </x:c>
      <x:c r="B6" s="28"/>
      <x:c r="C6" s="27" t="n">
        <x:f>COUNTIF('30-DAY PLAN'!$K$5:$K$34,"Done")</x:f>
        <x:v>0</x:v>
      </x:c>
      <x:c r="D6" s="28"/>
      <x:c r="E6" s="39" t="n">
        <x:f>IFERROR(C6/A6,0)</x:f>
        <x:v>0</x:v>
      </x:c>
      <x:c r="F6" s="40"/>
      <x:c r="G6" s="27" t="n">
        <x:f>COUNTIF('30-DAY PLAN'!$D$5:$D$34,"Publish")</x:f>
        <x:v>12</x:v>
      </x:c>
      <x:c r="H6" s="28"/>
    </x:row>
    <x:row r="7">
      <x:c r="A7" s="29"/>
      <x:c r="B7" s="30"/>
      <x:c r="C7" s="29"/>
      <x:c r="D7" s="30"/>
      <x:c r="E7" s="41"/>
      <x:c r="F7" s="42"/>
      <x:c r="G7" s="29"/>
      <x:c r="H7" s="30"/>
    </x:row>
    <x:row r="8">
      <x:c r="A8" s="1"/>
      <x:c r="B8" s="1"/>
      <x:c r="C8" s="1"/>
      <x:c r="D8" s="1"/>
      <x:c r="E8" s="1"/>
      <x:c r="F8" s="1"/>
      <x:c r="G8" s="1"/>
      <x:c r="H8" s="1"/>
    </x:row>
    <x:row r="9">
      <x:c r="A9" s="45" t="str">
        <x:v>YOUR OPERATING SYSTEM</x:v>
      </x:c>
      <x:c r="B9" s="45" t="str">
        <x:v>YOUR OPERATING SYSTEM</x:v>
      </x:c>
      <x:c r="C9" s="45" t="str">
        <x:v>YOUR OPERATING SYSTEM</x:v>
      </x:c>
      <x:c r="D9" s="45" t="str">
        <x:v>YOUR OPERATING SYSTEM</x:v>
      </x:c>
      <x:c r="E9" s="45" t="str">
        <x:v>YOUR OPERATING SYSTEM</x:v>
      </x:c>
      <x:c r="F9" s="45" t="str">
        <x:v>YOUR OPERATING SYSTEM</x:v>
      </x:c>
      <x:c r="G9" s="45" t="str">
        <x:v>YOUR OPERATING SYSTEM</x:v>
      </x:c>
      <x:c r="H9" s="45" t="str">
        <x:v>YOUR OPERATING SYSTEM</x:v>
      </x:c>
    </x:row>
    <x:row r="10" ht="32" customHeight="1">
      <x:c r="A10" s="65" t="str">
        <x:v>Platform</x:v>
      </x:c>
      <x:c r="B10" s="66" t="str">
        <x:v>Role</x:v>
      </x:c>
      <x:c r="C10" s="66" t="str">
        <x:v>Beginner cadence</x:v>
      </x:c>
      <x:c r="D10" s="67" t="str">
        <x:v>Priority</x:v>
      </x:c>
      <x:c r="E10" s="1"/>
      <x:c r="F10" s="77" t="str">
        <x:v>DAILY BASELINE ON ACTIVE DAYS</x:v>
      </x:c>
      <x:c r="G10" s="77" t="str">
        <x:v>DAILY BASELINE ON ACTIVE DAYS</x:v>
      </x:c>
      <x:c r="H10" s="77" t="str">
        <x:v>DAILY BASELINE ON ACTIVE DAYS</x:v>
      </x:c>
    </x:row>
    <x:row r="11">
      <x:c r="A11" s="68" t="str">
        <x:v>X</x:v>
      </x:c>
      <x:c r="B11" s="63" t="str">
        <x:v>Care, technology, questions and conversation</x:v>
      </x:c>
      <x:c r="C11" s="63" t="str">
        <x:v>3 original posts + 10–15 meaningful replies weekly</x:v>
      </x:c>
      <x:c r="D11" s="69" t="str">
        <x:v>Primary</x:v>
      </x:c>
      <x:c r="E11" s="1"/>
      <x:c r="F11" s="85" t="str">
        <x:v>1. Save one thought in your notes app.</x:v>
      </x:c>
      <x:c r="G11" s="86" t="str">
        <x:v>1. Save one thought in your notes app.</x:v>
      </x:c>
      <x:c r="H11" s="87" t="str">
        <x:v>1. Save one thought in your notes app.</x:v>
      </x:c>
    </x:row>
    <x:row r="12">
      <x:c r="A12" s="70" t="str">
        <x:v>Instagram</x:v>
      </x:c>
      <x:c r="B12" s="64" t="str">
        <x:v>Aesthetics, project proof, portraits and gradual video</x:v>
      </x:c>
      <x:c r="C12" s="64" t="str">
        <x:v>2 feed posts + 3 Stories weekly; 1 simple Reel in Month 1</x:v>
      </x:c>
      <x:c r="D12" s="71" t="str">
        <x:v>Primary</x:v>
      </x:c>
      <x:c r="E12" s="1"/>
      <x:c r="F12" s="96" t="str">
        <x:v>2. Reply meaningfully to three people.</x:v>
      </x:c>
      <x:c r="G12" s="97" t="str">
        <x:v>2. Reply meaningfully to three people.</x:v>
      </x:c>
      <x:c r="H12" s="98" t="str">
        <x:v>2. Reply meaningfully to three people.</x:v>
      </x:c>
    </x:row>
    <x:row r="13">
      <x:c r="A13" s="70" t="str">
        <x:v>LinkedIn</x:v>
      </x:c>
      <x:c r="B13" s="64" t="str">
        <x:v>Nursing, frontend and client-experience credibility</x:v>
      </x:c>
      <x:c r="C13" s="64" t="str">
        <x:v>1 thoughtful post every two weeks</x:v>
      </x:c>
      <x:c r="D13" s="71" t="str">
        <x:v>Supporting</x:v>
      </x:c>
      <x:c r="E13" s="1"/>
      <x:c r="F13" s="85" t="str">
        <x:v>3. Observe one good post and note why it works.</x:v>
      </x:c>
      <x:c r="G13" s="86" t="str">
        <x:v>3. Observe one good post and note why it works.</x:v>
      </x:c>
      <x:c r="H13" s="87" t="str">
        <x:v>3. Observe one good post and note why it works.</x:v>
      </x:c>
    </x:row>
    <x:row r="14">
      <x:c r="A14" s="72" t="str">
        <x:v>Modelling</x:v>
      </x:c>
      <x:c r="B14" s="73" t="str">
        <x:v>Optional opportunity lane, not the brand promise</x:v>
      </x:c>
      <x:c r="C14" s="73" t="str">
        <x:v>Maintain clean images and a MODEL Highlight</x:v>
      </x:c>
      <x:c r="D14" s="74" t="str">
        <x:v>Supporting</x:v>
      </x:c>
      <x:c r="E14" s="1"/>
      <x:c r="F14" s="96" t="str">
        <x:v>4. Spend no more than 10 focused minutes engaging.</x:v>
      </x:c>
      <x:c r="G14" s="97" t="str">
        <x:v>4. Spend no more than 10 focused minutes engaging.</x:v>
      </x:c>
      <x:c r="H14" s="98" t="str">
        <x:v>4. Spend no more than 10 focused minutes engaging.</x:v>
      </x:c>
    </x:row>
    <x:row r="15">
      <x:c r="A15" s="1"/>
      <x:c r="B15" s="1"/>
      <x:c r="C15" s="1"/>
      <x:c r="D15" s="1"/>
      <x:c r="E15" s="1"/>
      <x:c r="F15" s="1"/>
      <x:c r="G15" s="1"/>
      <x:c r="H15" s="1"/>
    </x:row>
    <x:row r="16">
      <x:c r="A16" s="1"/>
      <x:c r="B16" s="1"/>
      <x:c r="C16" s="1"/>
      <x:c r="D16" s="1"/>
      <x:c r="E16" s="1"/>
      <x:c r="F16" s="1"/>
      <x:c r="G16" s="1"/>
      <x:c r="H16" s="1"/>
    </x:row>
    <x:row r="17">
      <x:c r="A17" s="100" t="str">
        <x:v>BRAND DECISION</x:v>
      </x:c>
      <x:c r="B17" s="100" t="str">
        <x:v>BRAND DECISION</x:v>
      </x:c>
      <x:c r="C17" s="100" t="str">
        <x:v>BRAND DECISION</x:v>
      </x:c>
      <x:c r="D17" s="100" t="str">
        <x:v>BRAND DECISION</x:v>
      </x:c>
      <x:c r="E17" s="100" t="str">
        <x:v>BRAND DECISION</x:v>
      </x:c>
      <x:c r="F17" s="100" t="str">
        <x:v>BRAND DECISION</x:v>
      </x:c>
      <x:c r="G17" s="100" t="str">
        <x:v>BRAND DECISION</x:v>
      </x:c>
      <x:c r="H17" s="100" t="str">
        <x:v>BRAND DECISION</x:v>
      </x:c>
    </x:row>
    <x:row r="18">
      <x:c r="A18" s="128" t="str">
        <x:v>Build at the intersection of hands-on aesthetic care, frontend technology and better client experience. Use content to create trust and proof. Keep modelling as a supporting creative lane.</x:v>
      </x:c>
      <x:c r="B18" s="129" t="str">
        <x:v>Build at the intersection of hands-on aesthetic care, frontend technology and better client experience. Use content to create trust and proof. Keep modelling as a supporting creative lane.</x:v>
      </x:c>
      <x:c r="C18" s="129" t="str">
        <x:v>Build at the intersection of hands-on aesthetic care, frontend technology and better client experience. Use content to create trust and proof. Keep modelling as a supporting creative lane.</x:v>
      </x:c>
      <x:c r="D18" s="129" t="str">
        <x:v>Build at the intersection of hands-on aesthetic care, frontend technology and better client experience. Use content to create trust and proof. Keep modelling as a supporting creative lane.</x:v>
      </x:c>
      <x:c r="E18" s="129" t="str">
        <x:v>Build at the intersection of hands-on aesthetic care, frontend technology and better client experience. Use content to create trust and proof. Keep modelling as a supporting creative lane.</x:v>
      </x:c>
      <x:c r="F18" s="129" t="str">
        <x:v>Build at the intersection of hands-on aesthetic care, frontend technology and better client experience. Use content to create trust and proof. Keep modelling as a supporting creative lane.</x:v>
      </x:c>
      <x:c r="G18" s="129" t="str">
        <x:v>Build at the intersection of hands-on aesthetic care, frontend technology and better client experience. Use content to create trust and proof. Keep modelling as a supporting creative lane.</x:v>
      </x:c>
      <x:c r="H18" s="130" t="str">
        <x:v>Build at the intersection of hands-on aesthetic care, frontend technology and better client experience. Use content to create trust and proof. Keep modelling as a supporting creative lane.</x:v>
      </x:c>
    </x:row>
    <x:row r="19">
      <x:c r="A19" s="131" t="str">
        <x:v>Build at the intersection of hands-on aesthetic care, frontend technology and better client experience. Use content to create trust and proof. Keep modelling as a supporting creative lane.</x:v>
      </x:c>
      <x:c r="B19" s="132" t="str">
        <x:v>Build at the intersection of hands-on aesthetic care, frontend technology and better client experience. Use content to create trust and proof. Keep modelling as a supporting creative lane.</x:v>
      </x:c>
      <x:c r="C19" s="132" t="str">
        <x:v>Build at the intersection of hands-on aesthetic care, frontend technology and better client experience. Use content to create trust and proof. Keep modelling as a supporting creative lane.</x:v>
      </x:c>
      <x:c r="D19" s="132" t="str">
        <x:v>Build at the intersection of hands-on aesthetic care, frontend technology and better client experience. Use content to create trust and proof. Keep modelling as a supporting creative lane.</x:v>
      </x:c>
      <x:c r="E19" s="132" t="str">
        <x:v>Build at the intersection of hands-on aesthetic care, frontend technology and better client experience. Use content to create trust and proof. Keep modelling as a supporting creative lane.</x:v>
      </x:c>
      <x:c r="F19" s="132" t="str">
        <x:v>Build at the intersection of hands-on aesthetic care, frontend technology and better client experience. Use content to create trust and proof. Keep modelling as a supporting creative lane.</x:v>
      </x:c>
      <x:c r="G19" s="132" t="str">
        <x:v>Build at the intersection of hands-on aesthetic care, frontend technology and better client experience. Use content to create trust and proof. Keep modelling as a supporting creative lane.</x:v>
      </x:c>
      <x:c r="H19" s="133" t="str">
        <x:v>Build at the intersection of hands-on aesthetic care, frontend technology and better client experience. Use content to create trust and proof. Keep modelling as a supporting creative lane.</x:v>
      </x:c>
    </x:row>
    <x:row r="20">
      <x:c r="A20" s="134" t="str">
        <x:v>Build at the intersection of hands-on aesthetic care, frontend technology and better client experience. Use content to create trust and proof. Keep modelling as a supporting creative lane.</x:v>
      </x:c>
      <x:c r="B20" s="135" t="str">
        <x:v>Build at the intersection of hands-on aesthetic care, frontend technology and better client experience. Use content to create trust and proof. Keep modelling as a supporting creative lane.</x:v>
      </x:c>
      <x:c r="C20" s="135" t="str">
        <x:v>Build at the intersection of hands-on aesthetic care, frontend technology and better client experience. Use content to create trust and proof. Keep modelling as a supporting creative lane.</x:v>
      </x:c>
      <x:c r="D20" s="135" t="str">
        <x:v>Build at the intersection of hands-on aesthetic care, frontend technology and better client experience. Use content to create trust and proof. Keep modelling as a supporting creative lane.</x:v>
      </x:c>
      <x:c r="E20" s="135" t="str">
        <x:v>Build at the intersection of hands-on aesthetic care, frontend technology and better client experience. Use content to create trust and proof. Keep modelling as a supporting creative lane.</x:v>
      </x:c>
      <x:c r="F20" s="135" t="str">
        <x:v>Build at the intersection of hands-on aesthetic care, frontend technology and better client experience. Use content to create trust and proof. Keep modelling as a supporting creative lane.</x:v>
      </x:c>
      <x:c r="G20" s="135" t="str">
        <x:v>Build at the intersection of hands-on aesthetic care, frontend technology and better client experience. Use content to create trust and proof. Keep modelling as a supporting creative lane.</x:v>
      </x:c>
      <x:c r="H20" s="136" t="str">
        <x:v>Build at the intersection of hands-on aesthetic care, frontend technology and better client experience. Use content to create trust and proof. Keep modelling as a supporting creative lane.</x:v>
      </x:c>
    </x:row>
    <x:row r="21">
      <x:c r="A21" s="1"/>
      <x:c r="B21" s="1"/>
      <x:c r="C21" s="1"/>
      <x:c r="D21" s="1"/>
      <x:c r="E21" s="1"/>
      <x:c r="F21" s="1"/>
      <x:c r="G21" s="1"/>
      <x:c r="H21" s="1"/>
    </x:row>
    <x:row r="22">
      <x:c r="A22" s="139" t="str">
        <x:v>CORE LINE: DIVINE STRENGTH WITHIN. PROSPERITY BEYOND KINGSHIP.</x:v>
      </x:c>
      <x:c r="B22" s="139" t="str">
        <x:v>CORE LINE: DIVINE STRENGTH WITHIN. PROSPERITY BEYOND KINGSHIP.</x:v>
      </x:c>
      <x:c r="C22" s="139" t="str">
        <x:v>CORE LINE: DIVINE STRENGTH WITHIN. PROSPERITY BEYOND KINGSHIP.</x:v>
      </x:c>
      <x:c r="D22" s="139" t="str">
        <x:v>CORE LINE: DIVINE STRENGTH WITHIN. PROSPERITY BEYOND KINGSHIP.</x:v>
      </x:c>
      <x:c r="E22" s="139" t="str">
        <x:v>CORE LINE: DIVINE STRENGTH WITHIN. PROSPERITY BEYOND KINGSHIP.</x:v>
      </x:c>
      <x:c r="F22" s="139" t="str">
        <x:v>CORE LINE: DIVINE STRENGTH WITHIN. PROSPERITY BEYOND KINGSHIP.</x:v>
      </x:c>
      <x:c r="G22" s="139" t="str">
        <x:v>CORE LINE: DIVINE STRENGTH WITHIN. PROSPERITY BEYOND KINGSHIP.</x:v>
      </x:c>
      <x:c r="H22" s="139" t="str">
        <x:v>CORE LINE: DIVINE STRENGTH WITHIN. PROSPERITY BEYOND KINGSHIP.</x:v>
      </x:c>
    </x:row>
    <x:row r="23">
      <x:c r="A23" s="142" t="str">
        <x:v>SUPPORTING PROMISE: MASTERY WITHIN. TRANSFORMATION MADE VISIBLE.</x:v>
      </x:c>
      <x:c r="B23" s="142" t="str">
        <x:v>SUPPORTING PROMISE: MASTERY WITHIN. TRANSFORMATION MADE VISIBLE.</x:v>
      </x:c>
      <x:c r="C23" s="142" t="str">
        <x:v>SUPPORTING PROMISE: MASTERY WITHIN. TRANSFORMATION MADE VISIBLE.</x:v>
      </x:c>
      <x:c r="D23" s="142" t="str">
        <x:v>SUPPORTING PROMISE: MASTERY WITHIN. TRANSFORMATION MADE VISIBLE.</x:v>
      </x:c>
      <x:c r="E23" s="142" t="str">
        <x:v>SUPPORTING PROMISE: MASTERY WITHIN. TRANSFORMATION MADE VISIBLE.</x:v>
      </x:c>
      <x:c r="F23" s="142" t="str">
        <x:v>SUPPORTING PROMISE: MASTERY WITHIN. TRANSFORMATION MADE VISIBLE.</x:v>
      </x:c>
      <x:c r="G23" s="142" t="str">
        <x:v>SUPPORTING PROMISE: MASTERY WITHIN. TRANSFORMATION MADE VISIBLE.</x:v>
      </x:c>
      <x:c r="H23" s="142" t="str">
        <x:v>SUPPORTING PROMISE: MASTERY WITHIN. TRANSFORMATION MADE VISIBLE.</x:v>
      </x:c>
    </x:row>
    <x:row r="24">
      <x:c r="A24" s="156" t="str">
        <x:v>Open the 30-DAY PLAN tab and begin with Day 1. Use the dropdown in Status to mark progress. The plan starts Monday, 20 July 2026, but the sequence can be shifted to any start date.</x:v>
      </x:c>
      <x:c r="B24" s="157" t="str">
        <x:v>Open the 30-DAY PLAN tab and begin with Day 1. Use the dropdown in Status to mark progress. The plan starts Monday, 20 July 2026, but the sequence can be shifted to any start date.</x:v>
      </x:c>
      <x:c r="C24" s="157" t="str">
        <x:v>Open the 30-DAY PLAN tab and begin with Day 1. Use the dropdown in Status to mark progress. The plan starts Monday, 20 July 2026, but the sequence can be shifted to any start date.</x:v>
      </x:c>
      <x:c r="D24" s="157" t="str">
        <x:v>Open the 30-DAY PLAN tab and begin with Day 1. Use the dropdown in Status to mark progress. The plan starts Monday, 20 July 2026, but the sequence can be shifted to any start date.</x:v>
      </x:c>
      <x:c r="E24" s="157" t="str">
        <x:v>Open the 30-DAY PLAN tab and begin with Day 1. Use the dropdown in Status to mark progress. The plan starts Monday, 20 July 2026, but the sequence can be shifted to any start date.</x:v>
      </x:c>
      <x:c r="F24" s="157" t="str">
        <x:v>Open the 30-DAY PLAN tab and begin with Day 1. Use the dropdown in Status to mark progress. The plan starts Monday, 20 July 2026, but the sequence can be shifted to any start date.</x:v>
      </x:c>
      <x:c r="G24" s="157" t="str">
        <x:v>Open the 30-DAY PLAN tab and begin with Day 1. Use the dropdown in Status to mark progress. The plan starts Monday, 20 July 2026, but the sequence can be shifted to any start date.</x:v>
      </x:c>
      <x:c r="H24" s="158" t="str">
        <x:v>Open the 30-DAY PLAN tab and begin with Day 1. Use the dropdown in Status to mark progress. The plan starts Monday, 20 July 2026, but the sequence can be shifted to any start date.</x:v>
      </x:c>
    </x:row>
    <x:row r="25">
      <x:c r="A25" s="159" t="str">
        <x:v>Open the 30-DAY PLAN tab and begin with Day 1. Use the dropdown in Status to mark progress. The plan starts Monday, 20 July 2026, but the sequence can be shifted to any start date.</x:v>
      </x:c>
      <x:c r="B25" s="160" t="str">
        <x:v>Open the 30-DAY PLAN tab and begin with Day 1. Use the dropdown in Status to mark progress. The plan starts Monday, 20 July 2026, but the sequence can be shifted to any start date.</x:v>
      </x:c>
      <x:c r="C25" s="160" t="str">
        <x:v>Open the 30-DAY PLAN tab and begin with Day 1. Use the dropdown in Status to mark progress. The plan starts Monday, 20 July 2026, but the sequence can be shifted to any start date.</x:v>
      </x:c>
      <x:c r="D25" s="160" t="str">
        <x:v>Open the 30-DAY PLAN tab and begin with Day 1. Use the dropdown in Status to mark progress. The plan starts Monday, 20 July 2026, but the sequence can be shifted to any start date.</x:v>
      </x:c>
      <x:c r="E25" s="160" t="str">
        <x:v>Open the 30-DAY PLAN tab and begin with Day 1. Use the dropdown in Status to mark progress. The plan starts Monday, 20 July 2026, but the sequence can be shifted to any start date.</x:v>
      </x:c>
      <x:c r="F25" s="160" t="str">
        <x:v>Open the 30-DAY PLAN tab and begin with Day 1. Use the dropdown in Status to mark progress. The plan starts Monday, 20 July 2026, but the sequence can be shifted to any start date.</x:v>
      </x:c>
      <x:c r="G25" s="160" t="str">
        <x:v>Open the 30-DAY PLAN tab and begin with Day 1. Use the dropdown in Status to mark progress. The plan starts Monday, 20 July 2026, but the sequence can be shifted to any start date.</x:v>
      </x:c>
      <x:c r="H25" s="161" t="str">
        <x:v>Open the 30-DAY PLAN tab and begin with Day 1. Use the dropdown in Status to mark progress. The plan starts Monday, 20 July 2026, but the sequence can be shifted to any start date.</x:v>
      </x:c>
    </x:row>
    <x:row r="26">
      <x:c r="A26" s="1"/>
      <x:c r="B26" s="1"/>
      <x:c r="C26" s="1"/>
      <x:c r="D26" s="1"/>
      <x:c r="E26" s="1"/>
      <x:c r="F26" s="1"/>
      <x:c r="G26" s="1"/>
      <x:c r="H26" s="1"/>
    </x:row>
    <x:row r="27">
      <x:c r="A27" s="1"/>
      <x:c r="B27" s="1"/>
      <x:c r="C27" s="1"/>
      <x:c r="D27" s="1"/>
      <x:c r="E27" s="1"/>
      <x:c r="F27" s="1"/>
      <x:c r="G27" s="1"/>
      <x:c r="H27" s="1"/>
    </x:row>
    <x:row r="28">
      <x:c r="A28" s="1"/>
      <x:c r="B28" s="1"/>
      <x:c r="C28" s="1"/>
      <x:c r="D28" s="1"/>
      <x:c r="E28" s="1"/>
      <x:c r="F28" s="1"/>
      <x:c r="G28" s="1"/>
      <x:c r="H28" s="1"/>
    </x:row>
    <x:row r="29">
      <x:c r="A29" s="1"/>
      <x:c r="B29" s="1"/>
      <x:c r="C29" s="1"/>
      <x:c r="D29" s="1"/>
      <x:c r="E29" s="1"/>
      <x:c r="F29" s="1"/>
      <x:c r="G29" s="1"/>
      <x:c r="H29" s="1"/>
    </x:row>
    <x:row r="30">
      <x:c r="A30" s="1"/>
      <x:c r="B30" s="1"/>
      <x:c r="C30" s="1"/>
      <x:c r="D30" s="1"/>
      <x:c r="E30" s="1"/>
      <x:c r="F30" s="1"/>
      <x:c r="G30" s="1"/>
      <x:c r="H30" s="1"/>
    </x:row>
  </x:sheetData>
  <x:mergeCells>
    <x:mergeCell ref="A1:H2"/>
    <x:mergeCell ref="A3:H3"/>
    <x:mergeCell ref="A5:B5"/>
    <x:mergeCell ref="A6:B7"/>
    <x:mergeCell ref="C5:D5"/>
    <x:mergeCell ref="C6:D7"/>
    <x:mergeCell ref="E5:F5"/>
    <x:mergeCell ref="E6:F7"/>
    <x:mergeCell ref="G5:H5"/>
    <x:mergeCell ref="G6:H7"/>
    <x:mergeCell ref="A9:H9"/>
    <x:mergeCell ref="F10:H10"/>
    <x:mergeCell ref="F11:H11"/>
    <x:mergeCell ref="F12:H12"/>
    <x:mergeCell ref="F13:H13"/>
    <x:mergeCell ref="F14:H14"/>
    <x:mergeCell ref="A17:H17"/>
    <x:mergeCell ref="A18:H20"/>
    <x:mergeCell ref="A22:H22"/>
    <x:mergeCell ref="A23:H23"/>
    <x:mergeCell ref="A24: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17" hidden="0" customWidth="1"/>
    <x:col min="4" max="4" width="12" hidden="0" customWidth="1"/>
    <x:col min="5" max="5" width="18" hidden="0" customWidth="1"/>
    <x:col min="6" max="6" width="18" hidden="0" customWidth="1"/>
    <x:col min="7" max="7" width="26" hidden="0" customWidth="1"/>
    <x:col min="8" max="8" width="55" hidden="0" customWidth="1"/>
    <x:col min="9" max="9" width="43" hidden="0" customWidth="1"/>
    <x:col min="10" max="10" width="24" hidden="0" customWidth="1"/>
    <x:col min="11" max="11" width="15" hidden="0" customWidth="1"/>
  </x:cols>
  <x:sheetData>
    <x:row r="1" ht="36" customHeight="1">
      <x:c r="A1" s="5" t="str">
        <x:v>30-DAY ACTION PLAN  |  20 JULY – 18 AUGUST 2026</x:v>
      </x:c>
      <x:c r="B1" s="5" t="str">
        <x:v>30-DAY ACTION PLAN  |  20 JULY – 18 AUGUST 2026</x:v>
      </x:c>
      <x:c r="C1" s="5" t="str">
        <x:v>30-DAY ACTION PLAN  |  20 JULY – 18 AUGUST 2026</x:v>
      </x:c>
      <x:c r="D1" s="5" t="str">
        <x:v>30-DAY ACTION PLAN  |  20 JULY – 18 AUGUST 2026</x:v>
      </x:c>
      <x:c r="E1" s="5" t="str">
        <x:v>30-DAY ACTION PLAN  |  20 JULY – 18 AUGUST 2026</x:v>
      </x:c>
      <x:c r="F1" s="5" t="str">
        <x:v>30-DAY ACTION PLAN  |  20 JULY – 18 AUGUST 2026</x:v>
      </x:c>
      <x:c r="G1" s="5" t="str">
        <x:v>30-DAY ACTION PLAN  |  20 JULY – 18 AUGUST 2026</x:v>
      </x:c>
      <x:c r="H1" s="5" t="str">
        <x:v>30-DAY ACTION PLAN  |  20 JULY – 18 AUGUST 2026</x:v>
      </x:c>
      <x:c r="I1" s="5" t="str">
        <x:v>30-DAY ACTION PLAN  |  20 JULY – 18 AUGUST 2026</x:v>
      </x:c>
      <x:c r="J1" s="5" t="str">
        <x:v>30-DAY ACTION PLAN  |  20 JULY – 18 AUGUST 2026</x:v>
      </x:c>
      <x:c r="K1" s="5" t="str">
        <x:v>30-DAY ACTION PLAN  |  20 JULY – 18 AUGUST 2026</x:v>
      </x:c>
    </x:row>
    <x:row r="2" ht="36" customHeight="1">
      <x:c r="A2" s="5" t="str">
        <x:v>30-DAY ACTION PLAN  |  20 JULY – 18 AUGUST 2026</x:v>
      </x:c>
      <x:c r="B2" s="5" t="str">
        <x:v>30-DAY ACTION PLAN  |  20 JULY – 18 AUGUST 2026</x:v>
      </x:c>
      <x:c r="C2" s="5" t="str">
        <x:v>30-DAY ACTION PLAN  |  20 JULY – 18 AUGUST 2026</x:v>
      </x:c>
      <x:c r="D2" s="5" t="str">
        <x:v>30-DAY ACTION PLAN  |  20 JULY – 18 AUGUST 2026</x:v>
      </x:c>
      <x:c r="E2" s="5" t="str">
        <x:v>30-DAY ACTION PLAN  |  20 JULY – 18 AUGUST 2026</x:v>
      </x:c>
      <x:c r="F2" s="5" t="str">
        <x:v>30-DAY ACTION PLAN  |  20 JULY – 18 AUGUST 2026</x:v>
      </x:c>
      <x:c r="G2" s="5" t="str">
        <x:v>30-DAY ACTION PLAN  |  20 JULY – 18 AUGUST 2026</x:v>
      </x:c>
      <x:c r="H2" s="5" t="str">
        <x:v>30-DAY ACTION PLAN  |  20 JULY – 18 AUGUST 2026</x:v>
      </x:c>
      <x:c r="I2" s="5" t="str">
        <x:v>30-DAY ACTION PLAN  |  20 JULY – 18 AUGUST 2026</x:v>
      </x:c>
      <x:c r="J2" s="5" t="str">
        <x:v>30-DAY ACTION PLAN  |  20 JULY – 18 AUGUST 2026</x:v>
      </x:c>
      <x:c r="K2" s="5" t="str">
        <x:v>30-DAY ACTION PLAN  |  20 JULY – 18 AUGUST 2026</x:v>
      </x:c>
    </x:row>
    <x:row r="3" ht="24" customHeight="1">
      <x:c r="A3" s="8" t="str">
        <x:v>Publish less than you practise. Reuse one idea across platforms. Mark every action in the Status column.</x:v>
      </x:c>
      <x:c r="B3" s="8" t="str">
        <x:v>Publish less than you practise. Reuse one idea across platforms. Mark every action in the Status column.</x:v>
      </x:c>
      <x:c r="C3" s="8" t="str">
        <x:v>Publish less than you practise. Reuse one idea across platforms. Mark every action in the Status column.</x:v>
      </x:c>
      <x:c r="D3" s="8" t="str">
        <x:v>Publish less than you practise. Reuse one idea across platforms. Mark every action in the Status column.</x:v>
      </x:c>
      <x:c r="E3" s="8" t="str">
        <x:v>Publish less than you practise. Reuse one idea across platforms. Mark every action in the Status column.</x:v>
      </x:c>
      <x:c r="F3" s="8" t="str">
        <x:v>Publish less than you practise. Reuse one idea across platforms. Mark every action in the Status column.</x:v>
      </x:c>
      <x:c r="G3" s="8" t="str">
        <x:v>Publish less than you practise. Reuse one idea across platforms. Mark every action in the Status column.</x:v>
      </x:c>
      <x:c r="H3" s="8" t="str">
        <x:v>Publish less than you practise. Reuse one idea across platforms. Mark every action in the Status column.</x:v>
      </x:c>
      <x:c r="I3" s="8" t="str">
        <x:v>Publish less than you practise. Reuse one idea across platforms. Mark every action in the Status column.</x:v>
      </x:c>
      <x:c r="J3" s="8" t="str">
        <x:v>Publish less than you practise. Reuse one idea across platforms. Mark every action in the Status column.</x:v>
      </x:c>
      <x:c r="K3" s="8" t="str">
        <x:v>Publish less than you practise. Reuse one idea across platforms. Mark every action in the Status column.</x:v>
      </x:c>
    </x:row>
    <x:row r="4" ht="32" customHeight="1">
      <x:c r="A4" s="55" t="str">
        <x:v>Day</x:v>
      </x:c>
      <x:c r="B4" s="56" t="str">
        <x:v>Date</x:v>
      </x:c>
      <x:c r="C4" s="56" t="str">
        <x:v>Platform</x:v>
      </x:c>
      <x:c r="D4" s="56" t="str">
        <x:v>Action</x:v>
      </x:c>
      <x:c r="E4" s="56" t="str">
        <x:v>Series</x:v>
      </x:c>
      <x:c r="F4" s="56" t="str">
        <x:v>Format</x:v>
      </x:c>
      <x:c r="G4" s="56" t="str">
        <x:v>Topic / task</x:v>
      </x:c>
      <x:c r="H4" s="56" t="str">
        <x:v>Ready-to-use draft or prompt</x:v>
      </x:c>
      <x:c r="I4" s="56" t="str">
        <x:v>Simple production steps</x:v>
      </x:c>
      <x:c r="J4" s="56" t="str">
        <x:v>Call to action</x:v>
      </x:c>
      <x:c r="K4" s="57" t="str">
        <x:v>Status</x:v>
      </x:c>
    </x:row>
    <x:row r="5" ht="372" hidden="0" customHeight="1">
      <x:c r="A5" s="164" t="n">
        <x:v>1</x:v>
      </x:c>
      <x:c r="B5" s="166" t="n">
        <x:v>46223</x:v>
      </x:c>
      <x:c r="C5" s="168" t="str">
        <x:v>All</x:v>
      </x:c>
      <x:c r="D5" s="168" t="str">
        <x:v>Setup</x:v>
      </x:c>
      <x:c r="E5" s="168" t="str">
        <x:v>FOUNDATION</x:v>
      </x:c>
      <x:c r="F5" s="168" t="str">
        <x:v>Profile setup</x:v>
      </x:c>
      <x:c r="G5" s="63" t="str">
        <x:v>Align the care × technology identity</x:v>
      </x:c>
      <x:c r="H5" s="63" t="str">
        <x:v>Use the same headshot and handle where available. Instagram bio: Aesthetic nurse + frontend student / Care × Tech × Becoming / IN — Inner Nobility. LinkedIn headline: Aesthetic Nurse | Frontend-Focused Software Engineering Student | Exploring Health Tech and Better Client Experience.</x:v>
      </x:c>
      <x:c r="I5" s="63" t="str">
        <x:v>Choose one friendly headshot. Update X, Instagram and LinkedIn truthfully. Use the IN wordmark or tagline in a banner; keep current work separate from roles still in development.</x:v>
      </x:c>
      <x:c r="J5" s="63" t="str">
        <x:v>None</x:v>
      </x:c>
      <x:c r="K5" s="164" t="str">
        <x:v>Not Started</x:v>
      </x:c>
    </x:row>
    <x:row r="6" ht="240" hidden="0" customHeight="1">
      <x:c r="A6" s="165" t="n">
        <x:v>2</x:v>
      </x:c>
      <x:c r="B6" s="167" t="n">
        <x:v>46224</x:v>
      </x:c>
      <x:c r="C6" s="169" t="str">
        <x:v>Camera</x:v>
      </x:c>
      <x:c r="D6" s="169" t="str">
        <x:v>Practice</x:v>
      </x:c>
      <x:c r="E6" s="169" t="str">
        <x:v>IN FRAME</x:v>
      </x:c>
      <x:c r="F6" s="169" t="str">
        <x:v>Photo practice</x:v>
      </x:c>
      <x:c r="G6" s="64" t="str">
        <x:v>Care × technology headshot</x:v>
      </x:c>
      <x:c r="H6" s="64" t="str">
        <x:v>No caption needed. This is a private practice session.</x:v>
      </x:c>
      <x:c r="I6" s="64" t="str">
        <x:v>Clean the lens. Face a window. Take 5 clean portraits, 5 professional-clothing images and 5 seated laptop images. Avoid patient areas, records, workplace branding and private screens.</x:v>
      </x:c>
      <x:c r="J6" s="64" t="str">
        <x:v>None</x:v>
      </x:c>
      <x:c r="K6" s="165" t="str">
        <x:v>Not Started</x:v>
      </x:c>
    </x:row>
    <x:row r="7" ht="600" hidden="0" customHeight="1">
      <x:c r="A7" s="165" t="n">
        <x:v>3</x:v>
      </x:c>
      <x:c r="B7" s="167" t="n">
        <x:v>46225</x:v>
      </x:c>
      <x:c r="C7" s="169" t="str">
        <x:v>X</x:v>
      </x:c>
      <x:c r="D7" s="169" t="str">
        <x:v>Publish</x:v>
      </x:c>
      <x:c r="E7" s="169" t="str">
        <x:v>FOUNDATION</x:v>
      </x:c>
      <x:c r="F7" s="169" t="str">
        <x:v>Text post</x:v>
      </x:c>
      <x:c r="G7" s="64" t="str">
        <x:v>Pinned introduction</x:v>
      </x:c>
      <x:c r="H7" s="64" t="str">
        <x:v>Most people hear “Prince” and think of a title. I think of what a person carries within. I am Prince Chibuike Ubakaeze—an aesthetic nurse and frontend-focused software engineering student. I care about two things that work in a similar way: understanding a concern, finding what is not working and creating a result people can experience. IN means Inner Nobility. This page documents care, technology, mastery and the journey toward building a better client experience.</x:v>
      </x:c>
      <x:c r="I7" s="64" t="str">
        <x:v>Proofread once, publish and pin it. Do not add unrelated hashtags or present learning roles as completed qualifications.</x:v>
      </x:c>
      <x:c r="J7" s="64" t="str">
        <x:v>What are you working to master?</x:v>
      </x:c>
      <x:c r="K7" s="165" t="str">
        <x:v>Not Started</x:v>
      </x:c>
    </x:row>
    <x:row r="8" ht="180" hidden="0" customHeight="1">
      <x:c r="A8" s="165" t="n">
        <x:v>4</x:v>
      </x:c>
      <x:c r="B8" s="167" t="n">
        <x:v>46226</x:v>
      </x:c>
      <x:c r="C8" s="169" t="str">
        <x:v>X</x:v>
      </x:c>
      <x:c r="D8" s="169" t="str">
        <x:v>Engage</x:v>
      </x:c>
      <x:c r="E8" s="169" t="str">
        <x:v>IN CONVERSATION</x:v>
      </x:c>
      <x:c r="F8" s="169" t="str">
        <x:v>Replies</x:v>
      </x:c>
      <x:c r="G8" s="64" t="str">
        <x:v>Find your professional neighbourhood</x:v>
      </x:c>
      <x:c r="H8" s="64" t="str">
        <x:v>Reply thoughtfully to five people discussing aesthetics, healthcare, frontend development, client experience or multidisciplinary careers.</x:v>
      </x:c>
      <x:c r="I8" s="64" t="str">
        <x:v>Choose small and medium accounts whose work you genuinely follow. Add a useful thought or question; do not pitch yourself.</x:v>
      </x:c>
      <x:c r="J8" s="64" t="str">
        <x:v>Continue the conversation</x:v>
      </x:c>
      <x:c r="K8" s="165" t="str">
        <x:v>Not Started</x:v>
      </x:c>
    </x:row>
    <x:row r="9" ht="552" hidden="0" customHeight="1">
      <x:c r="A9" s="165" t="n">
        <x:v>5</x:v>
      </x:c>
      <x:c r="B9" s="167" t="n">
        <x:v>46227</x:v>
      </x:c>
      <x:c r="C9" s="169" t="str">
        <x:v>Instagram</x:v>
      </x:c>
      <x:c r="D9" s="169" t="str">
        <x:v>Publish</x:v>
      </x:c>
      <x:c r="E9" s="169" t="str">
        <x:v>FOUNDATION</x:v>
      </x:c>
      <x:c r="F9" s="169" t="str">
        <x:v>Portrait + logo</x:v>
      </x:c>
      <x:c r="G9" s="64" t="str">
        <x:v>Introduce Prince Ubakaeze</x:v>
      </x:c>
      <x:c r="H9" s="64" t="str">
        <x:v>Prince is the name. Chibuike is the strength. Ubakaeze is the prosperity. IN is the identity. I work in aesthetics and I am learning to build technology. What connects them is transformation: a thoughtful recommendation that solves a concern, or code that turns an idea into something useful. IN stands for Inner Nobility—what is mastered within becomes visible through the results we create. #PrinceUbakaeze #InnerNobility</x:v>
      </x:c>
      <x:c r="I9" s="64" t="str">
        <x:v>Use your best headshot as slide 1 and the logo as slide 2. Keep edits natural and share the post to your Story.</x:v>
      </x:c>
      <x:c r="J9" s="64" t="str">
        <x:v>Which part of this journey interests you?</x:v>
      </x:c>
      <x:c r="K9" s="165" t="str">
        <x:v>Not Started</x:v>
      </x:c>
    </x:row>
    <x:row r="10" ht="264" hidden="0" customHeight="1">
      <x:c r="A10" s="165" t="n">
        <x:v>6</x:v>
      </x:c>
      <x:c r="B10" s="167" t="n">
        <x:v>46228</x:v>
      </x:c>
      <x:c r="C10" s="169" t="str">
        <x:v>Notes</x:v>
      </x:c>
      <x:c r="D10" s="169" t="str">
        <x:v>Prepare</x:v>
      </x:c>
      <x:c r="E10" s="169" t="str">
        <x:v>FOUNDATION</x:v>
      </x:c>
      <x:c r="F10" s="169" t="str">
        <x:v>Idea bank</x:v>
      </x:c>
      <x:c r="G10" s="64" t="str">
        <x:v>Collect real problems</x:v>
      </x:c>
      <x:c r="H10" s="64" t="str">
        <x:v>Write five repeated questions you notice around aesthetics or client experience and five problems you notice while learning frontend. Do not include names, photographs, diagnoses or private details.</x:v>
      </x:c>
      <x:c r="I10" s="64" t="str">
        <x:v>Set a 20-minute timer. Circle one care problem and one technology problem you can discuss safely or build around this month.</x:v>
      </x:c>
      <x:c r="J10" s="64" t="str">
        <x:v>None</x:v>
      </x:c>
      <x:c r="K10" s="165" t="str">
        <x:v>Not Started</x:v>
      </x:c>
    </x:row>
    <x:row r="11" ht="180" hidden="0" customHeight="1">
      <x:c r="A11" s="165" t="n">
        <x:v>7</x:v>
      </x:c>
      <x:c r="B11" s="167" t="n">
        <x:v>46229</x:v>
      </x:c>
      <x:c r="C11" s="169" t="str">
        <x:v>Review</x:v>
      </x:c>
      <x:c r="D11" s="169" t="str">
        <x:v>Review</x:v>
      </x:c>
      <x:c r="E11" s="169" t="str">
        <x:v>FOUNDATION</x:v>
      </x:c>
      <x:c r="F11" s="169" t="str">
        <x:v>Weekly review</x:v>
      </x:c>
      <x:c r="G11" s="64" t="str">
        <x:v>Review Week 1</x:v>
      </x:c>
      <x:c r="H11" s="64" t="str">
        <x:v>Which introduction felt most natural? What did people ask about? Which photograph best communicates both warmth and competence?</x:v>
      </x:c>
      <x:c r="I11" s="64" t="str">
        <x:v>Enter available results in TRACKER. Choose one improvement for Week 2 and prepare one general care insight.</x:v>
      </x:c>
      <x:c r="J11" s="64" t="str">
        <x:v>None</x:v>
      </x:c>
      <x:c r="K11" s="165" t="str">
        <x:v>Not Started</x:v>
      </x:c>
    </x:row>
    <x:row r="12" ht="240" hidden="0" customHeight="1">
      <x:c r="A12" s="165" t="n">
        <x:v>8</x:v>
      </x:c>
      <x:c r="B12" s="167" t="n">
        <x:v>46230</x:v>
      </x:c>
      <x:c r="C12" s="169" t="str">
        <x:v>X</x:v>
      </x:c>
      <x:c r="D12" s="169" t="str">
        <x:v>Publish</x:v>
      </x:c>
      <x:c r="E12" s="169" t="str">
        <x:v>IN CARE</x:v>
      </x:c>
      <x:c r="F12" s="169" t="str">
        <x:v>Observation</x:v>
      </x:c>
      <x:c r="G12" s="64" t="str">
        <x:v>What better client experience means</x:v>
      </x:c>
      <x:c r="H12" s="64" t="str">
        <x:v>A good result matters. But so does how clearly a client is listened to, what they understand before the treatment and how supported they feel afterwards. Better care is an experience, not only a procedure.</x:v>
      </x:c>
      <x:c r="I12" s="64" t="str">
        <x:v>Publish as a general professional observation. Do not imply a guarantee or discuss a specific client.</x:v>
      </x:c>
      <x:c r="J12" s="64" t="str">
        <x:v>What makes you trust a service professional?</x:v>
      </x:c>
      <x:c r="K12" s="165" t="str">
        <x:v>Not Started</x:v>
      </x:c>
    </x:row>
    <x:row r="13" ht="132" hidden="0" customHeight="1">
      <x:c r="A13" s="165" t="n">
        <x:v>9</x:v>
      </x:c>
      <x:c r="B13" s="167" t="n">
        <x:v>46231</x:v>
      </x:c>
      <x:c r="C13" s="169" t="str">
        <x:v>Instagram</x:v>
      </x:c>
      <x:c r="D13" s="169" t="str">
        <x:v>Engage</x:v>
      </x:c>
      <x:c r="E13" s="169" t="str">
        <x:v>IN CARE</x:v>
      </x:c>
      <x:c r="F13" s="169" t="str">
        <x:v>Story poll</x:v>
      </x:c>
      <x:c r="G13" s="64" t="str">
        <x:v>Ask about trust</x:v>
      </x:c>
      <x:c r="H13" s="64" t="str">
        <x:v>What builds your trust first? Clear explanations / Visible professionalism</x:v>
      </x:c>
      <x:c r="I13" s="64" t="str">
        <x:v>Use an ivory background, black text and a small gold IN mark. Add a two-option poll and save useful replies.</x:v>
      </x:c>
      <x:c r="J13" s="64" t="str">
        <x:v>Vote and tell me why</x:v>
      </x:c>
      <x:c r="K13" s="165" t="str">
        <x:v>Not Started</x:v>
      </x:c>
    </x:row>
    <x:row r="14" ht="168" hidden="0" customHeight="1">
      <x:c r="A14" s="165" t="n">
        <x:v>10</x:v>
      </x:c>
      <x:c r="B14" s="167" t="n">
        <x:v>46232</x:v>
      </x:c>
      <x:c r="C14" s="169" t="str">
        <x:v>Camera</x:v>
      </x:c>
      <x:c r="D14" s="169" t="str">
        <x:v>Practice</x:v>
      </x:c>
      <x:c r="E14" s="169" t="str">
        <x:v>IN FRAME</x:v>
      </x:c>
      <x:c r="F14" s="169" t="str">
        <x:v>Photo practice</x:v>
      </x:c>
      <x:c r="G14" s="64" t="str">
        <x:v>Practitioner and builder visuals</x:v>
      </x:c>
      <x:c r="H14" s="64" t="str">
        <x:v>Practise one clean portrait, one professional-clothing image, one laptop image, one notebook detail and one walking shot.</x:v>
      </x:c>
      <x:c r="I14" s="64" t="str">
        <x:v>Use one location and natural light. Take 3–5 versions of each. Never show client information, medication, passwords or private work screens.</x:v>
      </x:c>
      <x:c r="J14" s="64" t="str">
        <x:v>None</x:v>
      </x:c>
      <x:c r="K14" s="165" t="str">
        <x:v>Not Started</x:v>
      </x:c>
    </x:row>
    <x:row r="15" ht="252" hidden="0" customHeight="1">
      <x:c r="A15" s="165" t="n">
        <x:v>11</x:v>
      </x:c>
      <x:c r="B15" s="167" t="n">
        <x:v>46233</x:v>
      </x:c>
      <x:c r="C15" s="169" t="str">
        <x:v>X</x:v>
      </x:c>
      <x:c r="D15" s="169" t="str">
        <x:v>Publish</x:v>
      </x:c>
      <x:c r="E15" s="169" t="str">
        <x:v>IN BUILD</x:v>
      </x:c>
      <x:c r="F15" s="169" t="str">
        <x:v>Reflection</x:v>
      </x:c>
      <x:c r="G15" s="64" t="str">
        <x:v>Why debugging feels rewarding</x:v>
      </x:c>
      <x:c r="H15" s="64" t="str">
        <x:v>One thing I enjoy about coding is seeing a problem, testing possibilities and finally watching the result work. Debugging can be frustrating, but it gives you evidence that persistence changed something.</x:v>
      </x:c>
      <x:c r="I15" s="64" t="str">
        <x:v>Post as plain text. If possible, mention a harmless beginner bug without sharing credentials or copied private code.</x:v>
      </x:c>
      <x:c r="J15" s="64" t="str">
        <x:v>What kind of problem do you enjoy solving?</x:v>
      </x:c>
      <x:c r="K15" s="165" t="str">
        <x:v>Not Started</x:v>
      </x:c>
    </x:row>
    <x:row r="16" ht="348" hidden="0" customHeight="1">
      <x:c r="A16" s="165" t="n">
        <x:v>12</x:v>
      </x:c>
      <x:c r="B16" s="167" t="n">
        <x:v>46234</x:v>
      </x:c>
      <x:c r="C16" s="169" t="str">
        <x:v>Instagram</x:v>
      </x:c>
      <x:c r="D16" s="169" t="str">
        <x:v>Publish</x:v>
      </x:c>
      <x:c r="E16" s="169" t="str">
        <x:v>IN CARE</x:v>
      </x:c>
      <x:c r="F16" s="169" t="str">
        <x:v>Carousel</x:v>
      </x:c>
      <x:c r="G16" s="64" t="str">
        <x:v>Consultation before recommendation</x:v>
      </x:c>
      <x:c r="H16" s="64" t="str">
        <x:v>Slide 1: A BETTER RESULT STARTS BEFORE THE TREATMENT / 2: Listen to the concern / 3: Understand history and expectations / 4: Explain the recommendation clearly / 5: Agree on realistic follow-up. Educational content only; individual care requires assessment.</x:v>
      </x:c>
      <x:c r="I16" s="64" t="str">
        <x:v>Use five simple text slides in ink, ivory and gold. Keep the language general, avoid product prescriptions and add the educational note on the final slide.</x:v>
      </x:c>
      <x:c r="J16" s="64" t="str">
        <x:v>What makes a consultation feel thorough?</x:v>
      </x:c>
      <x:c r="K16" s="165" t="str">
        <x:v>Not Started</x:v>
      </x:c>
    </x:row>
    <x:row r="17" ht="144" hidden="0" customHeight="1">
      <x:c r="A17" s="165" t="n">
        <x:v>13</x:v>
      </x:c>
      <x:c r="B17" s="167" t="n">
        <x:v>46235</x:v>
      </x:c>
      <x:c r="C17" s="169" t="str">
        <x:v>X</x:v>
      </x:c>
      <x:c r="D17" s="169" t="str">
        <x:v>Engage</x:v>
      </x:c>
      <x:c r="E17" s="169" t="str">
        <x:v>IN CONVERSATION</x:v>
      </x:c>
      <x:c r="F17" s="169" t="str">
        <x:v>Replies</x:v>
      </x:c>
      <x:c r="G17" s="64" t="str">
        <x:v>Build care and tech familiarity</x:v>
      </x:c>
      <x:c r="H17" s="64" t="str">
        <x:v>Leave 8–10 meaningful replies across a small set of aesthetics, nursing, frontend and client-experience accounts.</x:v>
      </x:c>
      <x:c r="I17" s="64" t="str">
        <x:v>Return to people who replied earlier. Focus on contribution and curiosity rather than follower count.</x:v>
      </x:c>
      <x:c r="J17" s="64" t="str">
        <x:v>None</x:v>
      </x:c>
      <x:c r="K17" s="165" t="str">
        <x:v>Not Started</x:v>
      </x:c>
    </x:row>
    <x:row r="18" ht="192" hidden="0" customHeight="1">
      <x:c r="A18" s="165" t="n">
        <x:v>14</x:v>
      </x:c>
      <x:c r="B18" s="167" t="n">
        <x:v>46236</x:v>
      </x:c>
      <x:c r="C18" s="169" t="str">
        <x:v>Review</x:v>
      </x:c>
      <x:c r="D18" s="169" t="str">
        <x:v>Review</x:v>
      </x:c>
      <x:c r="E18" s="169" t="str">
        <x:v>FOUNDATION</x:v>
      </x:c>
      <x:c r="F18" s="169" t="str">
        <x:v>Weekly review</x:v>
      </x:c>
      <x:c r="G18" s="64" t="str">
        <x:v>Review Week 2</x:v>
      </x:c>
      <x:c r="H18" s="64" t="str">
        <x:v>Compare the client-experience post, coding reflection and carousel. Which created thoughtful replies, saves, profile visits or direct questions?</x:v>
      </x:c>
      <x:c r="I18" s="64" t="str">
        <x:v>Log results. Select one care topic to explain again from a different angle and define the small interface you will build next week.</x:v>
      </x:c>
      <x:c r="J18" s="64" t="str">
        <x:v>None</x:v>
      </x:c>
      <x:c r="K18" s="165" t="str">
        <x:v>Not Started</x:v>
      </x:c>
    </x:row>
    <x:row r="19" ht="288" hidden="0" customHeight="1">
      <x:c r="A19" s="165" t="n">
        <x:v>15</x:v>
      </x:c>
      <x:c r="B19" s="167" t="n">
        <x:v>46237</x:v>
      </x:c>
      <x:c r="C19" s="169" t="str">
        <x:v>X</x:v>
      </x:c>
      <x:c r="D19" s="169" t="str">
        <x:v>Publish</x:v>
      </x:c>
      <x:c r="E19" s="169" t="str">
        <x:v>IN MY ROOTS</x:v>
      </x:c>
      <x:c r="F19" s="169" t="str">
        <x:v>Name story</x:v>
      </x:c>
      <x:c r="G19" s="64" t="str">
        <x:v>The name behind the mastery</x:v>
      </x:c>
      <x:c r="H19" s="64" t="str">
        <x:v>Chibuike means God is strength. Ubakaeze speaks of prosperity beyond kingship. IN means Inner Nobility. For me, the practical expression is mastery within and transformation made visible—in care, technology and the way I build my life.</x:v>
      </x:c>
      <x:c r="I19" s="64" t="str">
        <x:v>Use plain text or attach the clean wordmark. Keep the explanation personal rather than making claims about every family interpretation.</x:v>
      </x:c>
      <x:c r="J19" s="64" t="str">
        <x:v>What responsibility does your name give you?</x:v>
      </x:c>
      <x:c r="K19" s="165" t="str">
        <x:v>Not Started</x:v>
      </x:c>
    </x:row>
    <x:row r="20" ht="204" hidden="0" customHeight="1">
      <x:c r="A20" s="165" t="n">
        <x:v>16</x:v>
      </x:c>
      <x:c r="B20" s="167" t="n">
        <x:v>46238</x:v>
      </x:c>
      <x:c r="C20" s="169" t="str">
        <x:v>Tech</x:v>
      </x:c>
      <x:c r="D20" s="169" t="str">
        <x:v>Prepare</x:v>
      </x:c>
      <x:c r="E20" s="169" t="str">
        <x:v>IN BUILD</x:v>
      </x:c>
      <x:c r="F20" s="169" t="str">
        <x:v>Project brief</x:v>
      </x:c>
      <x:c r="G20" s="64" t="str">
        <x:v>Choose an aesthetic-practice interface</x:v>
      </x:c>
      <x:c r="H20" s="64" t="str">
        <x:v>Project brief: Design a fictional aesthetic-practice landing page or consultation-booking interface focused on clarity, trust and a better client journey.</x:v>
      </x:c>
      <x:c r="I20" s="64" t="str">
        <x:v>Define the user, one problem, one main action and three sections. Use fictional names and information. Do not copy a real clinic’s website or patient data.</x:v>
      </x:c>
      <x:c r="J20" s="64" t="str">
        <x:v>None</x:v>
      </x:c>
      <x:c r="K20" s="165" t="str">
        <x:v>Not Started</x:v>
      </x:c>
    </x:row>
    <x:row r="21" ht="180" hidden="0" customHeight="1">
      <x:c r="A21" s="165" t="n">
        <x:v>17</x:v>
      </x:c>
      <x:c r="B21" s="167" t="n">
        <x:v>46239</x:v>
      </x:c>
      <x:c r="C21" s="169" t="str">
        <x:v>Tech</x:v>
      </x:c>
      <x:c r="D21" s="169" t="str">
        <x:v>Build</x:v>
      </x:c>
      <x:c r="E21" s="169" t="str">
        <x:v>IN BUILD</x:v>
      </x:c>
      <x:c r="F21" s="169" t="str">
        <x:v>Frontend project</x:v>
      </x:c>
      <x:c r="G21" s="64" t="str">
        <x:v>Build the first interface</x:v>
      </x:c>
      <x:c r="H21" s="64" t="str">
        <x:v>Today’s goal is a working first version, not a complete business. Build the header, service-information section, trust section and booking call to action.</x:v>
      </x:c>
      <x:c r="I21" s="64" t="str">
        <x:v>Use your current frontend tools. Save screenshots before and after. Record one bug and how you investigated it, including responsible AI use if applicable.</x:v>
      </x:c>
      <x:c r="J21" s="64" t="str">
        <x:v>None</x:v>
      </x:c>
      <x:c r="K21" s="165" t="str">
        <x:v>Not Started</x:v>
      </x:c>
    </x:row>
    <x:row r="22" ht="180" hidden="0" customHeight="1">
      <x:c r="A22" s="165" t="n">
        <x:v>18</x:v>
      </x:c>
      <x:c r="B22" s="167" t="n">
        <x:v>46240</x:v>
      </x:c>
      <x:c r="C22" s="169" t="str">
        <x:v>Camera</x:v>
      </x:c>
      <x:c r="D22" s="169" t="str">
        <x:v>Practice</x:v>
      </x:c>
      <x:c r="E22" s="169" t="str">
        <x:v>IN BUILD</x:v>
      </x:c>
      <x:c r="F22" s="169" t="str">
        <x:v>Screen recording</x:v>
      </x:c>
      <x:c r="G22" s="64" t="str">
        <x:v>Show a change happening</x:v>
      </x:c>
      <x:c r="H22" s="64" t="str">
        <x:v>Record a 5–8 second screen clip showing a safe visual change in the interface, such as spacing, colour, responsiveness or a button state.</x:v>
      </x:c>
      <x:c r="I22" s="64" t="str">
        <x:v>Close private tabs and notifications. Use fictional information. Crop the recording so only the project is visible.</x:v>
      </x:c>
      <x:c r="J22" s="64" t="str">
        <x:v>None</x:v>
      </x:c>
      <x:c r="K22" s="165" t="str">
        <x:v>Not Started</x:v>
      </x:c>
    </x:row>
    <x:row r="23" ht="276" hidden="0" customHeight="1">
      <x:c r="A23" s="165" t="n">
        <x:v>19</x:v>
      </x:c>
      <x:c r="B23" s="167" t="n">
        <x:v>46241</x:v>
      </x:c>
      <x:c r="C23" s="169" t="str">
        <x:v>X</x:v>
      </x:c>
      <x:c r="D23" s="169" t="str">
        <x:v>Publish</x:v>
      </x:c>
      <x:c r="E23" s="169" t="str">
        <x:v>IN PROGRESS</x:v>
      </x:c>
      <x:c r="F23" s="169" t="str">
        <x:v>Reflection</x:v>
      </x:c>
      <x:c r="G23" s="64" t="str">
        <x:v>The proposal that taught you distribution</x:v>
      </x:c>
      <x:c r="H23" s="64" t="str">
        <x:v>I once built a health-service idea and believed a good proposal would be enough. It was not. I learned that an idea also needs visibility, trust, proof, relationships and the right operating structure. I am building those things now.</x:v>
      </x:c>
      <x:c r="I23" s="64" t="str">
        <x:v>Publish without naming or accusing the club or another provider. Make the lesson about your growth and what you control next.</x:v>
      </x:c>
      <x:c r="J23" s="64" t="str">
        <x:v>What did an unsuccessful attempt teach you?</x:v>
      </x:c>
      <x:c r="K23" s="165" t="str">
        <x:v>Not Started</x:v>
      </x:c>
    </x:row>
    <x:row r="24" ht="180" hidden="0" customHeight="1">
      <x:c r="A24" s="165" t="n">
        <x:v>20</x:v>
      </x:c>
      <x:c r="B24" s="167" t="n">
        <x:v>46242</x:v>
      </x:c>
      <x:c r="C24" s="169" t="str">
        <x:v>Instagram</x:v>
      </x:c>
      <x:c r="D24" s="169" t="str">
        <x:v>Publish</x:v>
      </x:c>
      <x:c r="E24" s="169" t="str">
        <x:v>IN BUILD</x:v>
      </x:c>
      <x:c r="F24" s="169" t="str">
        <x:v>Project carousel</x:v>
      </x:c>
      <x:c r="G24" s="64" t="str">
        <x:v>Show the aesthetic-tech build</x:v>
      </x:c>
      <x:c r="H24" s="64" t="str">
        <x:v>Slide 1: BUILDING A BETTER CLIENT EXPERIENCE / 2: The problem / 3: The interface decision / 4: One bug or lesson / 5: What I will improve next.</x:v>
      </x:c>
      <x:c r="I24" s="64" t="str">
        <x:v>Use project screenshots, not long code blocks. State clearly that it is a fictional learning project and invite constructive feedback.</x:v>
      </x:c>
      <x:c r="J24" s="64" t="str">
        <x:v>What would make this experience clearer?</x:v>
      </x:c>
      <x:c r="K24" s="165" t="str">
        <x:v>Not Started</x:v>
      </x:c>
    </x:row>
    <x:row r="25" ht="204" hidden="0" customHeight="1">
      <x:c r="A25" s="165" t="n">
        <x:v>21</x:v>
      </x:c>
      <x:c r="B25" s="167" t="n">
        <x:v>46243</x:v>
      </x:c>
      <x:c r="C25" s="169" t="str">
        <x:v>Review</x:v>
      </x:c>
      <x:c r="D25" s="169" t="str">
        <x:v>Review</x:v>
      </x:c>
      <x:c r="E25" s="169" t="str">
        <x:v>FOUNDATION</x:v>
      </x:c>
      <x:c r="F25" s="169" t="str">
        <x:v>Weekly review</x:v>
      </x:c>
      <x:c r="G25" s="64" t="str">
        <x:v>Review Week 3</x:v>
      </x:c>
      <x:c r="H25" s="64" t="str">
        <x:v>Did you complete a working interface? Which explanation was easiest: care, code or the connection between them? What feedback was genuinely useful?</x:v>
      </x:c>
      <x:c r="I25" s="64" t="str">
        <x:v>Log metrics and confidence. Choose three clips or screenshots for next week’s Reel.</x:v>
      </x:c>
      <x:c r="J25" s="64" t="str">
        <x:v>None</x:v>
      </x:c>
      <x:c r="K25" s="165" t="str">
        <x:v>Not Started</x:v>
      </x:c>
    </x:row>
    <x:row r="26" ht="588" hidden="0" customHeight="1">
      <x:c r="A26" s="165" t="n">
        <x:v>22</x:v>
      </x:c>
      <x:c r="B26" s="167" t="n">
        <x:v>46244</x:v>
      </x:c>
      <x:c r="C26" s="169" t="str">
        <x:v>LinkedIn</x:v>
      </x:c>
      <x:c r="D26" s="169" t="str">
        <x:v>Publish</x:v>
      </x:c>
      <x:c r="E26" s="169" t="str">
        <x:v>FOUNDATION</x:v>
      </x:c>
      <x:c r="F26" s="169" t="str">
        <x:v>Professional post</x:v>
      </x:c>
      <x:c r="G26" s="64" t="str">
        <x:v>Care × technology positioning</x:v>
      </x:c>
      <x:c r="H26" s="64" t="str">
        <x:v>I work as an aesthetic nurse while studying software engineering with a frontend focus. The two paths are teaching me a similar discipline: understand the person or problem, identify what is not working, communicate clearly and build toward a better result. I am now documenting that intersection through aesthetic care, technology and client experience. My long-term goal is to remain hands-on while helping build a more thoughtful, technology-enabled practice.</x:v>
      </x:c>
      <x:c r="I26" s="64" t="str">
        <x:v>Keep qualifications accurate. Use a clean headshot or project screenshot and respond thoughtfully to professional comments.</x:v>
      </x:c>
      <x:c r="J26" s="64" t="str">
        <x:v>Where have two different skills strengthened each other for you?</x:v>
      </x:c>
      <x:c r="K26" s="165" t="str">
        <x:v>Not Started</x:v>
      </x:c>
    </x:row>
    <x:row r="27" ht="228" hidden="0" customHeight="1">
      <x:c r="A27" s="165" t="n">
        <x:v>23</x:v>
      </x:c>
      <x:c r="B27" s="167" t="n">
        <x:v>46245</x:v>
      </x:c>
      <x:c r="C27" s="169" t="str">
        <x:v>Instagram</x:v>
      </x:c>
      <x:c r="D27" s="169" t="str">
        <x:v>Practice</x:v>
      </x:c>
      <x:c r="E27" s="169" t="str">
        <x:v>IN PROGRESS</x:v>
      </x:c>
      <x:c r="F27" s="169" t="str">
        <x:v>Voice-over practice</x:v>
      </x:c>
      <x:c r="G27" s="64" t="str">
        <x:v>Care and technology</x:v>
      </x:c>
      <x:c r="H27" s="64" t="str">
        <x:v>Voice-over: I am learning two crafts—care and technology. One helps me understand concerns and create better results. The other helps me build systems and experiences.</x:v>
      </x:c>
      <x:c r="I27" s="64" t="str">
        <x:v>Record three short clips: portrait, laptop and project screen. Add the voice-over privately and practise captions before publishing.</x:v>
      </x:c>
      <x:c r="J27" s="64" t="str">
        <x:v>None</x:v>
      </x:c>
      <x:c r="K27" s="165" t="str">
        <x:v>Not Started</x:v>
      </x:c>
    </x:row>
    <x:row r="28" ht="312" hidden="0" customHeight="1">
      <x:c r="A28" s="165" t="n">
        <x:v>24</x:v>
      </x:c>
      <x:c r="B28" s="167" t="n">
        <x:v>46246</x:v>
      </x:c>
      <x:c r="C28" s="169" t="str">
        <x:v>Instagram</x:v>
      </x:c>
      <x:c r="D28" s="169" t="str">
        <x:v>Publish</x:v>
      </x:c>
      <x:c r="E28" s="169" t="str">
        <x:v>IN PROGRESS</x:v>
      </x:c>
      <x:c r="F28" s="169" t="str">
        <x:v>Simple Reel</x:v>
      </x:c>
      <x:c r="G28" s="64" t="str">
        <x:v>Mastery within</x:v>
      </x:c>
      <x:c r="H28" s="64" t="str">
        <x:v>Voice-over: I am learning two crafts—care and technology. One helps me understand concerns and create better results. The other helps me build systems and experiences. IN means Inner Nobility: mastery within, transformation made visible.</x:v>
      </x:c>
      <x:c r="I28" s="64" t="str">
        <x:v>Use the Day 23 clips, captions and logo at the end. Keep it under 25 seconds; direct-to-camera is optional.</x:v>
      </x:c>
      <x:c r="J28" s="64" t="str">
        <x:v>Follow the journey</x:v>
      </x:c>
      <x:c r="K28" s="165" t="str">
        <x:v>Not Started</x:v>
      </x:c>
    </x:row>
    <x:row r="29" ht="240" hidden="0" customHeight="1">
      <x:c r="A29" s="165" t="n">
        <x:v>25</x:v>
      </x:c>
      <x:c r="B29" s="167" t="n">
        <x:v>46247</x:v>
      </x:c>
      <x:c r="C29" s="169" t="str">
        <x:v>X</x:v>
      </x:c>
      <x:c r="D29" s="169" t="str">
        <x:v>Publish</x:v>
      </x:c>
      <x:c r="E29" s="169" t="str">
        <x:v>IN CARE</x:v>
      </x:c>
      <x:c r="F29" s="169" t="str">
        <x:v>Observation</x:v>
      </x:c>
      <x:c r="G29" s="64" t="str">
        <x:v>Recommendations and responsibility</x:v>
      </x:c>
      <x:c r="H29" s="64" t="str">
        <x:v>The satisfying part of a recommendation is not simply giving it. It is seeing that it genuinely addressed the concern. That is why listening, realistic expectations and follow-up matter.</x:v>
      </x:c>
      <x:c r="I29" s="64" t="str">
        <x:v>Keep this general and educational. Do not promise an outcome, diagnose online or identify a client.</x:v>
      </x:c>
      <x:c r="J29" s="64" t="str">
        <x:v>What makes professional advice feel trustworthy?</x:v>
      </x:c>
      <x:c r="K29" s="165" t="str">
        <x:v>Not Started</x:v>
      </x:c>
    </x:row>
    <x:row r="30" ht="168" hidden="0" customHeight="1">
      <x:c r="A30" s="165" t="n">
        <x:v>26</x:v>
      </x:c>
      <x:c r="B30" s="167" t="n">
        <x:v>46248</x:v>
      </x:c>
      <x:c r="C30" s="169" t="str">
        <x:v>X + Instagram</x:v>
      </x:c>
      <x:c r="D30" s="169" t="str">
        <x:v>Engage</x:v>
      </x:c>
      <x:c r="E30" s="169" t="str">
        <x:v>IN CONVERSATION</x:v>
      </x:c>
      <x:c r="F30" s="169" t="str">
        <x:v>Community</x:v>
      </x:c>
      <x:c r="G30" s="64" t="str">
        <x:v>Build useful relationships</x:v>
      </x:c>
      <x:c r="H30" s="64" t="str">
        <x:v>Reply to five aesthetics or skincare professionals, three health-tech or frontend builders and two people discussing client experience.</x:v>
      </x:c>
      <x:c r="I30" s="64" t="str">
        <x:v>Comment on their actual work. Save five credible accounts for future learning or collaboration; do not send a cold pitch today.</x:v>
      </x:c>
      <x:c r="J30" s="64" t="str">
        <x:v>None</x:v>
      </x:c>
      <x:c r="K30" s="165" t="str">
        <x:v>Not Started</x:v>
      </x:c>
    </x:row>
    <x:row r="31" ht="180" hidden="0" customHeight="1">
      <x:c r="A31" s="165" t="n">
        <x:v>27</x:v>
      </x:c>
      <x:c r="B31" s="167" t="n">
        <x:v>46249</x:v>
      </x:c>
      <x:c r="C31" s="169" t="str">
        <x:v>Camera</x:v>
      </x:c>
      <x:c r="D31" s="169" t="str">
        <x:v>Practice</x:v>
      </x:c>
      <x:c r="E31" s="169" t="str">
        <x:v>IN FRAME</x:v>
      </x:c>
      <x:c r="F31" s="169" t="str">
        <x:v>Lifestyle photo</x:v>
      </x:c>
      <x:c r="G31" s="64" t="str">
        <x:v>Professional presence</x:v>
      </x:c>
      <x:c r="H31" s="64" t="str">
        <x:v>Capture one clean portrait, one walking image and one detail shot that could sit beside care or technology content without looking staged.</x:v>
      </x:c>
      <x:c r="I31" s="64" t="str">
        <x:v>Use open shade and a simple outfit. Ask a friend or use a tripod. Keep the background uncluttered and professional.</x:v>
      </x:c>
      <x:c r="J31" s="64" t="str">
        <x:v>None</x:v>
      </x:c>
      <x:c r="K31" s="165" t="str">
        <x:v>Not Started</x:v>
      </x:c>
    </x:row>
    <x:row r="32" ht="180" hidden="0" customHeight="1">
      <x:c r="A32" s="165" t="n">
        <x:v>28</x:v>
      </x:c>
      <x:c r="B32" s="167" t="n">
        <x:v>46250</x:v>
      </x:c>
      <x:c r="C32" s="169" t="str">
        <x:v>Instagram</x:v>
      </x:c>
      <x:c r="D32" s="169" t="str">
        <x:v>Publish</x:v>
      </x:c>
      <x:c r="E32" s="169" t="str">
        <x:v>IN FRAME</x:v>
      </x:c>
      <x:c r="F32" s="169" t="str">
        <x:v>Lifestyle portrait</x:v>
      </x:c>
      <x:c r="G32" s="64" t="str">
        <x:v>Presence backed by mastery</x:v>
      </x:c>
      <x:c r="H32" s="64" t="str">
        <x:v>Presence can attract attention, but mastery is what gives it weight. I am learning to build both—how I present myself and what I can genuinely do.</x:v>
      </x:c>
      <x:c r="I32" s="64" t="str">
        <x:v>Use the strongest Day 27 photograph. Keep the edit restrained and place IN PROGRESS only in the caption.</x:v>
      </x:c>
      <x:c r="J32" s="64" t="str">
        <x:v>What skill are you giving more depth?</x:v>
      </x:c>
      <x:c r="K32" s="165" t="str">
        <x:v>Not Started</x:v>
      </x:c>
    </x:row>
    <x:row r="33" ht="252" hidden="0" customHeight="1">
      <x:c r="A33" s="165" t="n">
        <x:v>29</x:v>
      </x:c>
      <x:c r="B33" s="167" t="n">
        <x:v>46251</x:v>
      </x:c>
      <x:c r="C33" s="169" t="str">
        <x:v>Admin</x:v>
      </x:c>
      <x:c r="D33" s="169" t="str">
        <x:v>Prepare</x:v>
      </x:c>
      <x:c r="E33" s="169" t="str">
        <x:v>IN PROGRESS</x:v>
      </x:c>
      <x:c r="F33" s="169" t="str">
        <x:v>Future-practice map</x:v>
      </x:c>
      <x:c r="G33" s="64" t="str">
        <x:v>Design the client journey</x:v>
      </x:c>
      <x:c r="H33" s="64" t="str">
        <x:v>Map a future client journey: discovery / enquiry / consultation / recommendation / treatment / aftercare / follow-up. List one way technology could improve clarity or convenience at each stage.</x:v>
      </x:c>
      <x:c r="I33" s="64" t="str">
        <x:v>This is planning, not a service launch. Create a one-page map and list the regulatory questions that would need written answers before any mobile or home clinical service.</x:v>
      </x:c>
      <x:c r="J33" s="64" t="str">
        <x:v>None</x:v>
      </x:c>
      <x:c r="K33" s="165" t="str">
        <x:v>Not Started</x:v>
      </x:c>
    </x:row>
    <x:row r="34" ht="240" hidden="0" customHeight="1">
      <x:c r="A34" s="165" t="n">
        <x:v>30</x:v>
      </x:c>
      <x:c r="B34" s="167" t="n">
        <x:v>46252</x:v>
      </x:c>
      <x:c r="C34" s="169" t="str">
        <x:v>Review</x:v>
      </x:c>
      <x:c r="D34" s="169" t="str">
        <x:v>Review</x:v>
      </x:c>
      <x:c r="E34" s="169" t="str">
        <x:v>FOUNDATION</x:v>
      </x:c>
      <x:c r="F34" s="169" t="str">
        <x:v>Monthly review</x:v>
      </x:c>
      <x:c r="G34" s="64" t="str">
        <x:v>Complete Month 1 review</x:v>
      </x:c>
      <x:c r="H34" s="64" t="str">
        <x:v>What did you publish in IN CARE and IN BUILD? What felt natural? Which post earned useful replies, saves or profile visits? What did you build? What should stop, continue and deepen?</x:v>
      </x:c>
      <x:c r="I34" s="64" t="str">
        <x:v>Complete TRACKER, mark final statuses, select the top care topic and technology format for Month 2, and plan the next 12 posts. Do not add a new course unless it supports the chosen focus.</x:v>
      </x:c>
      <x:c r="J34" s="64" t="str">
        <x:v>None</x:v>
      </x:c>
      <x:c r="K34" s="165" t="str">
        <x:v>Not Started</x:v>
      </x:c>
    </x:row>
  </x:sheetData>
  <x:mergeCells>
    <x:mergeCell ref="A1:K2"/>
    <x:mergeCell ref="A3:K3"/>
  </x:mergeCells>
  <x:conditionalFormatting sqref="K5:K34">
    <x:cfRule type="containsText" dxfId="0" priority="1" operator="containsText" text="Done"/>
    <x:cfRule type="containsText" dxfId="1" priority="2" operator="containsText" text="Ready"/>
    <x:cfRule type="containsText" dxfId="2" priority="3" operator="containsText" text="In Progress"/>
  </x:conditionalFormatting>
  <x:conditionalFormatting sqref="D5:D34">
    <x:cfRule type="containsText" dxfId="3" priority="4" operator="containsText" text="Publish"/>
  </x:conditionalFormatting>
  <x:dataValidations count="1">
    <x:dataValidation type="list" sqref="K5:K34">
      <x:formula1>"Not Started,In Progress,Ready,Done"</x:formula1>
    </x:dataValidation>
  </x:dataValidations>
  <x:pageMargins left="0.7" right="0.7" top="0.75" bottom="0.75" header="0.3" footer="0.3"/>
  <x:tableParts count="1">
    <x:tablePart xmlns:r="http://schemas.openxmlformats.org/officeDocument/2006/relationships" r:id="R3b0fd69f86d548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8" hidden="0" customWidth="1"/>
    <x:col min="4" max="4" width="20" hidden="0" customWidth="1"/>
    <x:col min="5" max="5" width="38" hidden="0" customWidth="1"/>
  </x:cols>
  <x:sheetData>
    <x:row r="1" ht="36" customHeight="1">
      <x:c r="A1" s="5" t="str">
        <x:v>CONTENT BANK  |  REUSABLE STARTERS</x:v>
      </x:c>
      <x:c r="B1" s="5" t="str">
        <x:v>CONTENT BANK  |  REUSABLE STARTERS</x:v>
      </x:c>
      <x:c r="C1" s="5" t="str">
        <x:v>CONTENT BANK  |  REUSABLE STARTERS</x:v>
      </x:c>
      <x:c r="D1" s="5" t="str">
        <x:v>CONTENT BANK  |  REUSABLE STARTERS</x:v>
      </x:c>
      <x:c r="E1" s="5" t="str">
        <x:v>CONTENT BANK  |  REUSABLE STARTERS</x:v>
      </x:c>
    </x:row>
    <x:row r="2" ht="36" customHeight="1">
      <x:c r="A2" s="5" t="str">
        <x:v>CONTENT BANK  |  REUSABLE STARTERS</x:v>
      </x:c>
      <x:c r="B2" s="5" t="str">
        <x:v>CONTENT BANK  |  REUSABLE STARTERS</x:v>
      </x:c>
      <x:c r="C2" s="5" t="str">
        <x:v>CONTENT BANK  |  REUSABLE STARTERS</x:v>
      </x:c>
      <x:c r="D2" s="5" t="str">
        <x:v>CONTENT BANK  |  REUSABLE STARTERS</x:v>
      </x:c>
      <x:c r="E2" s="5" t="str">
        <x:v>CONTENT BANK  |  REUSABLE STARTERS</x:v>
      </x:c>
    </x:row>
    <x:row r="3" ht="24" customHeight="1">
      <x:c r="A3" s="8" t="str">
        <x:v>Choose a prompt, add your honest view and end with one invitation to respond.</x:v>
      </x:c>
      <x:c r="B3" s="8" t="str">
        <x:v>Choose a prompt, add your honest view and end with one invitation to respond.</x:v>
      </x:c>
      <x:c r="C3" s="8" t="str">
        <x:v>Choose a prompt, add your honest view and end with one invitation to respond.</x:v>
      </x:c>
      <x:c r="D3" s="8" t="str">
        <x:v>Choose a prompt, add your honest view and end with one invitation to respond.</x:v>
      </x:c>
      <x:c r="E3" s="8" t="str">
        <x:v>Choose a prompt, add your honest view and end with one invitation to respond.</x:v>
      </x:c>
    </x:row>
    <x:row r="4" ht="32" customHeight="1">
      <x:c r="A4" s="55" t="str">
        <x:v>Series</x:v>
      </x:c>
      <x:c r="B4" s="56" t="str">
        <x:v>Prompt</x:v>
      </x:c>
      <x:c r="C4" s="56" t="str">
        <x:v>Best platform</x:v>
      </x:c>
      <x:c r="D4" s="56" t="str">
        <x:v>Easy format</x:v>
      </x:c>
      <x:c r="E4" s="57" t="str">
        <x:v>Starter line</x:v>
      </x:c>
    </x:row>
    <x:row r="5" ht="15" hidden="0" customHeight="1">
      <x:c r="A5" s="170" t="str">
        <x:v>IN CARE</x:v>
      </x:c>
      <x:c r="B5" s="63" t="str">
        <x:v>What makes a client feel listened to before a treatment?</x:v>
      </x:c>
      <x:c r="C5" s="63" t="str">
        <x:v>X / Instagram</x:v>
      </x:c>
      <x:c r="D5" s="63" t="str">
        <x:v>Observation</x:v>
      </x:c>
      <x:c r="E5" s="63" t="str">
        <x:v>A better experience begins when…</x:v>
      </x:c>
    </x:row>
    <x:row r="6" ht="15" hidden="0" customHeight="1">
      <x:c r="A6" s="171" t="str">
        <x:v>IN CARE</x:v>
      </x:c>
      <x:c r="B6" s="64" t="str">
        <x:v>Why consultation matters before recommendation</x:v>
      </x:c>
      <x:c r="C6" s="64" t="str">
        <x:v>Instagram</x:v>
      </x:c>
      <x:c r="D6" s="64" t="str">
        <x:v>Carousel</x:v>
      </x:c>
      <x:c r="E6" s="64" t="str">
        <x:v>The recommendation is only as good as…</x:v>
      </x:c>
    </x:row>
    <x:row r="7" ht="15" hidden="0" customHeight="1">
      <x:c r="A7" s="171" t="str">
        <x:v>IN CARE</x:v>
      </x:c>
      <x:c r="B7" s="64" t="str">
        <x:v>One general skincare misconception worth clarifying</x:v>
      </x:c>
      <x:c r="C7" s="64" t="str">
        <x:v>X</x:v>
      </x:c>
      <x:c r="D7" s="64" t="str">
        <x:v>Educational note</x:v>
      </x:c>
      <x:c r="E7" s="64" t="str">
        <x:v>One misunderstanding I often notice is…</x:v>
      </x:c>
    </x:row>
    <x:row r="8" ht="15" hidden="0" customHeight="1">
      <x:c r="A8" s="171" t="str">
        <x:v>IN CARE</x:v>
      </x:c>
      <x:c r="B8" s="64" t="str">
        <x:v>The difference between promising results and setting expectations</x:v>
      </x:c>
      <x:c r="C8" s="64" t="str">
        <x:v>X / LinkedIn</x:v>
      </x:c>
      <x:c r="D8" s="64" t="str">
        <x:v>Reflection</x:v>
      </x:c>
      <x:c r="E8" s="64" t="str">
        <x:v>Trust grows when a professional…</x:v>
      </x:c>
    </x:row>
    <x:row r="9" ht="15" hidden="0" customHeight="1">
      <x:c r="A9" s="171" t="str">
        <x:v>IN CARE</x:v>
      </x:c>
      <x:c r="B9" s="64" t="str">
        <x:v>What good aftercare communication should achieve</x:v>
      </x:c>
      <x:c r="C9" s="64" t="str">
        <x:v>Instagram</x:v>
      </x:c>
      <x:c r="D9" s="64" t="str">
        <x:v>Carousel</x:v>
      </x:c>
      <x:c r="E9" s="64" t="str">
        <x:v>Aftercare should leave a client…</x:v>
      </x:c>
    </x:row>
    <x:row r="10" ht="15" hidden="0" customHeight="1">
      <x:c r="A10" s="171" t="str">
        <x:v>IN CARE</x:v>
      </x:c>
      <x:c r="B10" s="64" t="str">
        <x:v>Why follow-up is part of the client experience</x:v>
      </x:c>
      <x:c r="C10" s="64" t="str">
        <x:v>X</x:v>
      </x:c>
      <x:c r="D10" s="64" t="str">
        <x:v>Observation</x:v>
      </x:c>
      <x:c r="E10" s="64" t="str">
        <x:v>The treatment may end, but…</x:v>
      </x:c>
    </x:row>
    <x:row r="11" ht="15" hidden="0" customHeight="1">
      <x:c r="A11" s="171" t="str">
        <x:v>IN CARE</x:v>
      </x:c>
      <x:c r="B11" s="64" t="str">
        <x:v>What professionalism looks like before a client arrives</x:v>
      </x:c>
      <x:c r="C11" s="64" t="str">
        <x:v>Instagram Story</x:v>
      </x:c>
      <x:c r="D11" s="64" t="str">
        <x:v>Behind the scenes</x:v>
      </x:c>
      <x:c r="E11" s="64" t="str">
        <x:v>A good experience is prepared before…</x:v>
      </x:c>
    </x:row>
    <x:row r="12" ht="15" hidden="0" customHeight="1">
      <x:c r="A12" s="171" t="str">
        <x:v>IN CARE</x:v>
      </x:c>
      <x:c r="B12" s="64" t="str">
        <x:v>A general principle you use when thinking through a concern</x:v>
      </x:c>
      <x:c r="C12" s="64" t="str">
        <x:v>X</x:v>
      </x:c>
      <x:c r="D12" s="64" t="str">
        <x:v>Process lesson</x:v>
      </x:c>
      <x:c r="E12" s="64" t="str">
        <x:v>Before recommending anything, I think about…</x:v>
      </x:c>
    </x:row>
    <x:row r="13" ht="15" hidden="0" customHeight="1">
      <x:c r="A13" s="171" t="str">
        <x:v>IN CARE</x:v>
      </x:c>
      <x:c r="B13" s="64" t="str">
        <x:v>A question clients should feel comfortable asking</x:v>
      </x:c>
      <x:c r="C13" s="64" t="str">
        <x:v>Instagram Story</x:v>
      </x:c>
      <x:c r="D13" s="64" t="str">
        <x:v>Question sticker</x:v>
      </x:c>
      <x:c r="E13" s="64" t="str">
        <x:v>You should never feel embarrassed to ask…</x:v>
      </x:c>
    </x:row>
    <x:row r="14" ht="15" hidden="0" customHeight="1">
      <x:c r="A14" s="171" t="str">
        <x:v>IN CARE</x:v>
      </x:c>
      <x:c r="B14" s="64" t="str">
        <x:v>What better client experience means to you</x:v>
      </x:c>
      <x:c r="C14" s="64" t="str">
        <x:v>LinkedIn / Instagram</x:v>
      </x:c>
      <x:c r="D14" s="64" t="str">
        <x:v>Reflection</x:v>
      </x:c>
      <x:c r="E14" s="64" t="str">
        <x:v>Better care is not only…</x:v>
      </x:c>
    </x:row>
    <x:row r="15" ht="15" hidden="0" customHeight="1">
      <x:c r="A15" s="171" t="str">
        <x:v>IN BUILD</x:v>
      </x:c>
      <x:c r="B15" s="64" t="str">
        <x:v>A frontend result that made you proud</x:v>
      </x:c>
      <x:c r="C15" s="64" t="str">
        <x:v>X / LinkedIn</x:v>
      </x:c>
      <x:c r="D15" s="64" t="str">
        <x:v>Build log</x:v>
      </x:c>
      <x:c r="E15" s="64" t="str">
        <x:v>Today I finally got…</x:v>
      </x:c>
    </x:row>
    <x:row r="16" ht="15" hidden="0" customHeight="1">
      <x:c r="A16" s="171" t="str">
        <x:v>IN BUILD</x:v>
      </x:c>
      <x:c r="B16" s="64" t="str">
        <x:v>A bug you solved and what the process taught you</x:v>
      </x:c>
      <x:c r="C16" s="64" t="str">
        <x:v>X</x:v>
      </x:c>
      <x:c r="D16" s="64" t="str">
        <x:v>Short lesson</x:v>
      </x:c>
      <x:c r="E16" s="64" t="str">
        <x:v>The bug was small, but it taught me…</x:v>
      </x:c>
    </x:row>
    <x:row r="17" ht="15" hidden="0" customHeight="1">
      <x:c r="A17" s="171" t="str">
        <x:v>IN BUILD</x:v>
      </x:c>
      <x:c r="B17" s="64" t="str">
        <x:v>Before-and-after of an interface decision</x:v>
      </x:c>
      <x:c r="C17" s="64" t="str">
        <x:v>Instagram</x:v>
      </x:c>
      <x:c r="D17" s="64" t="str">
        <x:v>Project carousel</x:v>
      </x:c>
      <x:c r="E17" s="64" t="str">
        <x:v>This screen became clearer when…</x:v>
      </x:c>
    </x:row>
    <x:row r="18" ht="15" hidden="0" customHeight="1">
      <x:c r="A18" s="171" t="str">
        <x:v>IN BUILD</x:v>
      </x:c>
      <x:c r="B18" s="64" t="str">
        <x:v>How a booking interface can reduce uncertainty</x:v>
      </x:c>
      <x:c r="C18" s="64" t="str">
        <x:v>LinkedIn</x:v>
      </x:c>
      <x:c r="D18" s="64" t="str">
        <x:v>Product reflection</x:v>
      </x:c>
      <x:c r="E18" s="64" t="str">
        <x:v>A booking page should answer…</x:v>
      </x:c>
    </x:row>
    <x:row r="19" ht="15" hidden="0" customHeight="1">
      <x:c r="A19" s="171" t="str">
        <x:v>IN BUILD</x:v>
      </x:c>
      <x:c r="B19" s="64" t="str">
        <x:v>One accessibility or clarity improvement</x:v>
      </x:c>
      <x:c r="C19" s="64" t="str">
        <x:v>X / Instagram</x:v>
      </x:c>
      <x:c r="D19" s="64" t="str">
        <x:v>Screen recording</x:v>
      </x:c>
      <x:c r="E19" s="64" t="str">
        <x:v>A better interface should make it easier to…</x:v>
      </x:c>
    </x:row>
    <x:row r="20" ht="15" hidden="0" customHeight="1">
      <x:c r="A20" s="171" t="str">
        <x:v>IN BUILD</x:v>
      </x:c>
      <x:c r="B20" s="64" t="str">
        <x:v>How you used AI responsibly while debugging</x:v>
      </x:c>
      <x:c r="C20" s="64" t="str">
        <x:v>X / LinkedIn</x:v>
      </x:c>
      <x:c r="D20" s="64" t="str">
        <x:v>Process note</x:v>
      </x:c>
      <x:c r="E20" s="64" t="str">
        <x:v>AI helped me explore, but I still had to…</x:v>
      </x:c>
    </x:row>
    <x:row r="21" ht="15" hidden="0" customHeight="1">
      <x:c r="A21" s="171" t="str">
        <x:v>IN BUILD</x:v>
      </x:c>
      <x:c r="B21" s="64" t="str">
        <x:v>A fictional aesthetic-tech interface concept</x:v>
      </x:c>
      <x:c r="C21" s="64" t="str">
        <x:v>Instagram / LinkedIn</x:v>
      </x:c>
      <x:c r="D21" s="64" t="str">
        <x:v>Portfolio post</x:v>
      </x:c>
      <x:c r="E21" s="64" t="str">
        <x:v>I am building this to explore…</x:v>
      </x:c>
    </x:row>
    <x:row r="22" ht="15" hidden="0" customHeight="1">
      <x:c r="A22" s="171" t="str">
        <x:v>IN BUILD</x:v>
      </x:c>
      <x:c r="B22" s="64" t="str">
        <x:v>What care work teaches you about designing technology</x:v>
      </x:c>
      <x:c r="C22" s="64" t="str">
        <x:v>LinkedIn</x:v>
      </x:c>
      <x:c r="D22" s="64" t="str">
        <x:v>Cross-disciplinary insight</x:v>
      </x:c>
      <x:c r="E22" s="64" t="str">
        <x:v>Working with people has changed how I think about…</x:v>
      </x:c>
    </x:row>
    <x:row r="23" ht="15" hidden="0" customHeight="1">
      <x:c r="A23" s="171" t="str">
        <x:v>IN PROGRESS</x:v>
      </x:c>
      <x:c r="B23" s="64" t="str">
        <x:v>What two degrees are teaching you about focus</x:v>
      </x:c>
      <x:c r="C23" s="64" t="str">
        <x:v>X / LinkedIn</x:v>
      </x:c>
      <x:c r="D23" s="64" t="str">
        <x:v>Reflection</x:v>
      </x:c>
      <x:c r="E23" s="64" t="str">
        <x:v>Doing more has forced me to learn…</x:v>
      </x:c>
    </x:row>
    <x:row r="24" ht="15" hidden="0" customHeight="1">
      <x:c r="A24" s="171" t="str">
        <x:v>IN PROGRESS</x:v>
      </x:c>
      <x:c r="B24" s="64" t="str">
        <x:v>Why mastery matters more than collecting certificates</x:v>
      </x:c>
      <x:c r="C24" s="64" t="str">
        <x:v>X</x:v>
      </x:c>
      <x:c r="D24" s="64" t="str">
        <x:v>Observation</x:v>
      </x:c>
      <x:c r="E24" s="64" t="str">
        <x:v>A certificate can show completion, but…</x:v>
      </x:c>
    </x:row>
    <x:row r="25" ht="15" hidden="0" customHeight="1">
      <x:c r="A25" s="171" t="str">
        <x:v>IN PROGRESS</x:v>
      </x:c>
      <x:c r="B25" s="64" t="str">
        <x:v>A previous attempt that taught you about distribution</x:v>
      </x:c>
      <x:c r="C25" s="64" t="str">
        <x:v>X / LinkedIn</x:v>
      </x:c>
      <x:c r="D25" s="64" t="str">
        <x:v>Failure lesson</x:v>
      </x:c>
      <x:c r="E25" s="64" t="str">
        <x:v>I once believed a good idea was enough…</x:v>
      </x:c>
    </x:row>
    <x:row r="26" ht="15" hidden="0" customHeight="1">
      <x:c r="A26" s="171" t="str">
        <x:v>IN PROGRESS</x:v>
      </x:c>
      <x:c r="B26" s="64" t="str">
        <x:v>How you decide whether a new course is worth it</x:v>
      </x:c>
      <x:c r="C26" s="64" t="str">
        <x:v>Instagram</x:v>
      </x:c>
      <x:c r="D26" s="64" t="str">
        <x:v>Carousel</x:v>
      </x:c>
      <x:c r="E26" s="64" t="str">
        <x:v>Before enrolling, I now ask…</x:v>
      </x:c>
    </x:row>
    <x:row r="27" ht="15" hidden="0" customHeight="1">
      <x:c r="A27" s="171" t="str">
        <x:v>IN PROGRESS</x:v>
      </x:c>
      <x:c r="B27" s="64" t="str">
        <x:v>A realistic weekly win across work and study</x:v>
      </x:c>
      <x:c r="C27" s="64" t="str">
        <x:v>Story</x:v>
      </x:c>
      <x:c r="D27" s="64" t="str">
        <x:v>Behind the scenes</x:v>
      </x:c>
      <x:c r="E27" s="64" t="str">
        <x:v>This week, progress looked like…</x:v>
      </x:c>
    </x:row>
    <x:row r="28" ht="15" hidden="0" customHeight="1">
      <x:c r="A28" s="171" t="str">
        <x:v>IN PROGRESS</x:v>
      </x:c>
      <x:c r="B28" s="64" t="str">
        <x:v>The future practice experience you want to create</x:v>
      </x:c>
      <x:c r="C28" s="64" t="str">
        <x:v>Instagram / LinkedIn</x:v>
      </x:c>
      <x:c r="D28" s="64" t="str">
        <x:v>Vision post</x:v>
      </x:c>
      <x:c r="E28" s="64" t="str">
        <x:v>If I build a practice, I want clients to…</x:v>
      </x:c>
    </x:row>
    <x:row r="29" ht="15" hidden="0" customHeight="1">
      <x:c r="A29" s="171" t="str">
        <x:v>IN FRAME</x:v>
      </x:c>
      <x:c r="B29" s="64" t="str">
        <x:v>A professional portrait about presence and competence</x:v>
      </x:c>
      <x:c r="C29" s="64" t="str">
        <x:v>Instagram</x:v>
      </x:c>
      <x:c r="D29" s="64" t="str">
        <x:v>Portrait</x:v>
      </x:c>
      <x:c r="E29" s="64" t="str">
        <x:v>Presence may attract attention, but…</x:v>
      </x:c>
    </x:row>
    <x:row r="30" ht="15" hidden="0" customHeight="1">
      <x:c r="A30" s="171" t="str">
        <x:v>IN FRAME</x:v>
      </x:c>
      <x:c r="B30" s="64" t="str">
        <x:v>A laptop portrait about becoming a builder</x:v>
      </x:c>
      <x:c r="C30" s="64" t="str">
        <x:v>Instagram</x:v>
      </x:c>
      <x:c r="D30" s="64" t="str">
        <x:v>Lifestyle photo</x:v>
      </x:c>
      <x:c r="E30" s="64" t="str">
        <x:v>This is what learning looks like today…</x:v>
      </x:c>
    </x:row>
    <x:row r="31" ht="15" hidden="0" customHeight="1">
      <x:c r="A31" s="171" t="str">
        <x:v>IN FRAME</x:v>
      </x:c>
      <x:c r="B31" s="64" t="str">
        <x:v>A clean work-detail image without private information</x:v>
      </x:c>
      <x:c r="C31" s="64" t="str">
        <x:v>Instagram Story</x:v>
      </x:c>
      <x:c r="D31" s="64" t="str">
        <x:v>Detail shot</x:v>
      </x:c>
      <x:c r="E31" s="64" t="str">
        <x:v>The small habits behind the work…</x:v>
      </x:c>
    </x:row>
    <x:row r="32" ht="24" hidden="0" customHeight="1">
      <x:c r="A32" s="171" t="str">
        <x:v>IN FRAME</x:v>
      </x:c>
      <x:c r="B32" s="64" t="str">
        <x:v>A beginner model image that supports rather than defines the brand</x:v>
      </x:c>
      <x:c r="C32" s="64" t="str">
        <x:v>Instagram</x:v>
      </x:c>
      <x:c r="D32" s="64" t="str">
        <x:v>Portrait</x:v>
      </x:c>
      <x:c r="E32" s="64" t="str">
        <x:v>Modelling is one part of how I am learning…</x:v>
      </x:c>
    </x:row>
    <x:row r="33" ht="15" hidden="0" customHeight="1">
      <x:c r="A33" s="171" t="str">
        <x:v>IN MY ROOTS</x:v>
      </x:c>
      <x:c r="B33" s="64" t="str">
        <x:v>How Chibuike connects to resilience</x:v>
      </x:c>
      <x:c r="C33" s="64" t="str">
        <x:v>X / Instagram</x:v>
      </x:c>
      <x:c r="D33" s="64" t="str">
        <x:v>Name story</x:v>
      </x:c>
      <x:c r="E33" s="64" t="str">
        <x:v>Chibuike means God is strength, and for me…</x:v>
      </x:c>
    </x:row>
    <x:row r="34" ht="15" hidden="0" customHeight="1">
      <x:c r="A34" s="171" t="str">
        <x:v>IN MY ROOTS</x:v>
      </x:c>
      <x:c r="B34" s="64" t="str">
        <x:v>How Ubakaeze reframes prosperity</x:v>
      </x:c>
      <x:c r="C34" s="64" t="str">
        <x:v>Instagram</x:v>
      </x:c>
      <x:c r="D34" s="64" t="str">
        <x:v>Carousel</x:v>
      </x:c>
      <x:c r="E34" s="64" t="str">
        <x:v>Prosperity is larger than status because…</x:v>
      </x:c>
    </x:row>
    <x:row r="35" ht="15" hidden="0" customHeight="1">
      <x:c r="A35" s="171" t="str">
        <x:v>IN MY ROOTS</x:v>
      </x:c>
      <x:c r="B35" s="64" t="str">
        <x:v>What Inner Nobility looks like in professional conduct</x:v>
      </x:c>
      <x:c r="C35" s="64" t="str">
        <x:v>LinkedIn / X</x:v>
      </x:c>
      <x:c r="D35" s="64" t="str">
        <x:v>Reflection</x:v>
      </x:c>
      <x:c r="E35" s="64" t="str">
        <x:v>Inner Nobility at work means…</x:v>
      </x:c>
    </x:row>
    <x:row r="36" ht="15" hidden="0" customHeight="1">
      <x:c r="A36" s="171" t="str">
        <x:v>IN MY ROOTS</x:v>
      </x:c>
      <x:c r="B36" s="64" t="str">
        <x:v>What is IN a Prince?</x:v>
      </x:c>
      <x:c r="C36" s="64" t="str">
        <x:v>Instagram / X</x:v>
      </x:c>
      <x:c r="D36" s="64" t="str">
        <x:v>Campaign question</x:v>
      </x:c>
      <x:c r="E36" s="64" t="str">
        <x:v>A practitioner who solves. A builder who…</x:v>
      </x:c>
    </x:row>
  </x:sheetData>
  <x:mergeCells>
    <x:mergeCell ref="A1:E2"/>
    <x:mergeCell ref="A3:E3"/>
  </x:mergeCells>
  <x:pageMargins left="0.7" right="0.7" top="0.75" bottom="0.75" header="0.3" footer="0.3"/>
  <x:tableParts count="1">
    <x:tablePart xmlns:r="http://schemas.openxmlformats.org/officeDocument/2006/relationships" r:id="R7e254bdebafd437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32" hidden="0" customWidth="1"/>
    <x:col min="4" max="4" width="15" hidden="0" customWidth="1"/>
    <x:col min="5" max="5" width="14" hidden="0" customWidth="1"/>
    <x:col min="6" max="6" width="10" hidden="0" customWidth="1"/>
    <x:col min="7" max="7" width="18" hidden="0" customWidth="1"/>
    <x:col min="8" max="8" width="17" hidden="0" customWidth="1"/>
    <x:col min="9" max="9" width="18" hidden="0" customWidth="1"/>
    <x:col min="10" max="10" width="15" hidden="0" customWidth="1"/>
    <x:col min="11" max="11" width="14" hidden="0" customWidth="1"/>
    <x:col min="12" max="12" width="19" hidden="0" customWidth="1"/>
    <x:col min="13" max="13" width="18" hidden="0" customWidth="1"/>
    <x:col min="14" max="14" width="17" hidden="0" customWidth="1"/>
    <x:col min="15" max="15" width="18" hidden="0" customWidth="1"/>
    <x:col min="16" max="16" width="40" hidden="0" customWidth="1"/>
  </x:cols>
  <x:sheetData>
    <x:row r="1" ht="36" customHeight="1">
      <x:c r="A1" s="5" t="str">
        <x:v>PERFORMANCE + LEARNING TRACKER</x:v>
      </x:c>
      <x:c r="B1" s="5" t="str">
        <x:v>PERFORMANCE + LEARNING TRACKER</x:v>
      </x:c>
      <x:c r="C1" s="5" t="str">
        <x:v>PERFORMANCE + LEARNING TRACKER</x:v>
      </x:c>
      <x:c r="D1" s="5" t="str">
        <x:v>PERFORMANCE + LEARNING TRACKER</x:v>
      </x:c>
      <x:c r="E1" s="5" t="str">
        <x:v>PERFORMANCE + LEARNING TRACKER</x:v>
      </x:c>
      <x:c r="F1" s="5" t="str">
        <x:v>PERFORMANCE + LEARNING TRACKER</x:v>
      </x:c>
      <x:c r="G1" s="5" t="str">
        <x:v>PERFORMANCE + LEARNING TRACKER</x:v>
      </x:c>
      <x:c r="H1" s="5" t="str">
        <x:v>PERFORMANCE + LEARNING TRACKER</x:v>
      </x:c>
      <x:c r="I1" s="5" t="str">
        <x:v>PERFORMANCE + LEARNING TRACKER</x:v>
      </x:c>
      <x:c r="J1" s="5" t="str">
        <x:v>PERFORMANCE + LEARNING TRACKER</x:v>
      </x:c>
      <x:c r="K1" s="5" t="str">
        <x:v>PERFORMANCE + LEARNING TRACKER</x:v>
      </x:c>
      <x:c r="L1" s="5" t="str">
        <x:v>PERFORMANCE + LEARNING TRACKER</x:v>
      </x:c>
      <x:c r="M1" s="5" t="str">
        <x:v>PERFORMANCE + LEARNING TRACKER</x:v>
      </x:c>
      <x:c r="N1" s="5" t="str">
        <x:v>PERFORMANCE + LEARNING TRACKER</x:v>
      </x:c>
      <x:c r="O1" s="5" t="str">
        <x:v>PERFORMANCE + LEARNING TRACKER</x:v>
      </x:c>
      <x:c r="P1" s="5" t="str">
        <x:v>PERFORMANCE + LEARNING TRACKER</x:v>
      </x:c>
    </x:row>
    <x:row r="2" ht="36" customHeight="1">
      <x:c r="A2" s="5" t="str">
        <x:v>PERFORMANCE + LEARNING TRACKER</x:v>
      </x:c>
      <x:c r="B2" s="5" t="str">
        <x:v>PERFORMANCE + LEARNING TRACKER</x:v>
      </x:c>
      <x:c r="C2" s="5" t="str">
        <x:v>PERFORMANCE + LEARNING TRACKER</x:v>
      </x:c>
      <x:c r="D2" s="5" t="str">
        <x:v>PERFORMANCE + LEARNING TRACKER</x:v>
      </x:c>
      <x:c r="E2" s="5" t="str">
        <x:v>PERFORMANCE + LEARNING TRACKER</x:v>
      </x:c>
      <x:c r="F2" s="5" t="str">
        <x:v>PERFORMANCE + LEARNING TRACKER</x:v>
      </x:c>
      <x:c r="G2" s="5" t="str">
        <x:v>PERFORMANCE + LEARNING TRACKER</x:v>
      </x:c>
      <x:c r="H2" s="5" t="str">
        <x:v>PERFORMANCE + LEARNING TRACKER</x:v>
      </x:c>
      <x:c r="I2" s="5" t="str">
        <x:v>PERFORMANCE + LEARNING TRACKER</x:v>
      </x:c>
      <x:c r="J2" s="5" t="str">
        <x:v>PERFORMANCE + LEARNING TRACKER</x:v>
      </x:c>
      <x:c r="K2" s="5" t="str">
        <x:v>PERFORMANCE + LEARNING TRACKER</x:v>
      </x:c>
      <x:c r="L2" s="5" t="str">
        <x:v>PERFORMANCE + LEARNING TRACKER</x:v>
      </x:c>
      <x:c r="M2" s="5" t="str">
        <x:v>PERFORMANCE + LEARNING TRACKER</x:v>
      </x:c>
      <x:c r="N2" s="5" t="str">
        <x:v>PERFORMANCE + LEARNING TRACKER</x:v>
      </x:c>
      <x:c r="O2" s="5" t="str">
        <x:v>PERFORMANCE + LEARNING TRACKER</x:v>
      </x:c>
      <x:c r="P2" s="5" t="str">
        <x:v>PERFORMANCE + LEARNING TRACKER</x:v>
      </x:c>
    </x:row>
    <x:row r="3" ht="24" customHeight="1">
      <x:c r="A3" s="8" t="str">
        <x:v>Record posts only. Compare formats over time; X view counts are not unique viewers.</x:v>
      </x:c>
      <x:c r="B3" s="8" t="str">
        <x:v>Record posts only. Compare formats over time; X view counts are not unique viewers.</x:v>
      </x:c>
      <x:c r="C3" s="8" t="str">
        <x:v>Record posts only. Compare formats over time; X view counts are not unique viewers.</x:v>
      </x:c>
      <x:c r="D3" s="8" t="str">
        <x:v>Record posts only. Compare formats over time; X view counts are not unique viewers.</x:v>
      </x:c>
      <x:c r="E3" s="8" t="str">
        <x:v>Record posts only. Compare formats over time; X view counts are not unique viewers.</x:v>
      </x:c>
      <x:c r="F3" s="8" t="str">
        <x:v>Record posts only. Compare formats over time; X view counts are not unique viewers.</x:v>
      </x:c>
      <x:c r="G3" s="8" t="str">
        <x:v>Record posts only. Compare formats over time; X view counts are not unique viewers.</x:v>
      </x:c>
      <x:c r="H3" s="8" t="str">
        <x:v>Record posts only. Compare formats over time; X view counts are not unique viewers.</x:v>
      </x:c>
      <x:c r="I3" s="8" t="str">
        <x:v>Record posts only. Compare formats over time; X view counts are not unique viewers.</x:v>
      </x:c>
      <x:c r="J3" s="8" t="str">
        <x:v>Record posts only. Compare formats over time; X view counts are not unique viewers.</x:v>
      </x:c>
      <x:c r="K3" s="8" t="str">
        <x:v>Record posts only. Compare formats over time; X view counts are not unique viewers.</x:v>
      </x:c>
      <x:c r="L3" s="8" t="str">
        <x:v>Record posts only. Compare formats over time; X view counts are not unique viewers.</x:v>
      </x:c>
      <x:c r="M3" s="8" t="str">
        <x:v>Record posts only. Compare formats over time; X view counts are not unique viewers.</x:v>
      </x:c>
      <x:c r="N3" s="8" t="str">
        <x:v>Record posts only. Compare formats over time; X view counts are not unique viewers.</x:v>
      </x:c>
      <x:c r="O3" s="8" t="str">
        <x:v>Record posts only. Compare formats over time; X view counts are not unique viewers.</x:v>
      </x:c>
      <x:c r="P3" s="8" t="str">
        <x:v>Record posts only. Compare formats over time; X view counts are not unique viewers.</x:v>
      </x:c>
    </x:row>
    <x:row r="5" ht="32" customHeight="1">
      <x:c r="A5" s="55" t="str">
        <x:v>Date</x:v>
      </x:c>
      <x:c r="B5" s="56" t="str">
        <x:v>Platform</x:v>
      </x:c>
      <x:c r="C5" s="56" t="str">
        <x:v>Post / topic</x:v>
      </x:c>
      <x:c r="D5" s="56" t="str">
        <x:v>Format</x:v>
      </x:c>
      <x:c r="E5" s="56" t="str">
        <x:v>Views / reach</x:v>
      </x:c>
      <x:c r="F5" s="56" t="str">
        <x:v>Likes</x:v>
      </x:c>
      <x:c r="G5" s="56" t="str">
        <x:v>Replies / comments</x:v>
      </x:c>
      <x:c r="H5" s="56" t="str">
        <x:v>Shares / reposts</x:v>
      </x:c>
      <x:c r="I5" s="56" t="str">
        <x:v>Saves / bookmarks</x:v>
      </x:c>
      <x:c r="J5" s="56" t="str">
        <x:v>Profile visits</x:v>
      </x:c>
      <x:c r="K5" s="56" t="str">
        <x:v>New followers</x:v>
      </x:c>
      <x:c r="L5" s="56" t="str">
        <x:v>Partnership enquiries</x:v>
      </x:c>
      <x:c r="M5" s="56" t="str">
        <x:v>Total engagement</x:v>
      </x:c>
      <x:c r="N5" s="56" t="str">
        <x:v>Engagement rate</x:v>
      </x:c>
      <x:c r="O5" s="56" t="str">
        <x:v>Profile conversion</x:v>
      </x:c>
      <x:c r="P5" s="57" t="str">
        <x:v>Learning / next step</x:v>
      </x:c>
    </x:row>
    <x:row r="6">
      <x:c r="A6" s="172"/>
      <x:c r="B6" s="63"/>
      <x:c r="C6" s="63"/>
      <x:c r="D6" s="63"/>
      <x:c r="E6" s="174"/>
      <x:c r="F6" s="174"/>
      <x:c r="G6" s="174"/>
      <x:c r="H6" s="174"/>
      <x:c r="I6" s="174"/>
      <x:c r="J6" s="174"/>
      <x:c r="K6" s="174"/>
      <x:c r="L6" s="174"/>
      <x:c r="M6" s="174" t="n">
        <x:f>SUM(F6:I6)</x:f>
        <x:v>0</x:v>
      </x:c>
      <x:c r="N6" s="176" t="n">
        <x:f>IFERROR(M6/E6,0)</x:f>
        <x:v>0</x:v>
      </x:c>
      <x:c r="O6" s="176" t="n">
        <x:f>IFERROR(K6/J6,0)</x:f>
        <x:v>0</x:v>
      </x:c>
      <x:c r="P6" s="63"/>
    </x:row>
    <x:row r="7">
      <x:c r="A7" s="173"/>
      <x:c r="B7" s="64"/>
      <x:c r="C7" s="64"/>
      <x:c r="D7" s="64"/>
      <x:c r="E7" s="175"/>
      <x:c r="F7" s="175"/>
      <x:c r="G7" s="175"/>
      <x:c r="H7" s="175"/>
      <x:c r="I7" s="175"/>
      <x:c r="J7" s="175"/>
      <x:c r="K7" s="175"/>
      <x:c r="L7" s="175"/>
      <x:c r="M7" s="175" t="n">
        <x:f>SUM(F7:I7)</x:f>
        <x:v>0</x:v>
      </x:c>
      <x:c r="N7" s="177" t="n">
        <x:f>IFERROR(M7/E7,0)</x:f>
        <x:v>0</x:v>
      </x:c>
      <x:c r="O7" s="177" t="n">
        <x:f>IFERROR(K7/J7,0)</x:f>
        <x:v>0</x:v>
      </x:c>
      <x:c r="P7" s="64"/>
    </x:row>
    <x:row r="8">
      <x:c r="A8" s="173"/>
      <x:c r="B8" s="64"/>
      <x:c r="C8" s="64"/>
      <x:c r="D8" s="64"/>
      <x:c r="E8" s="175"/>
      <x:c r="F8" s="175"/>
      <x:c r="G8" s="175"/>
      <x:c r="H8" s="175"/>
      <x:c r="I8" s="175"/>
      <x:c r="J8" s="175"/>
      <x:c r="K8" s="175"/>
      <x:c r="L8" s="175"/>
      <x:c r="M8" s="175" t="n">
        <x:f>SUM(F8:I8)</x:f>
        <x:v>0</x:v>
      </x:c>
      <x:c r="N8" s="177" t="n">
        <x:f>IFERROR(M8/E8,0)</x:f>
        <x:v>0</x:v>
      </x:c>
      <x:c r="O8" s="177" t="n">
        <x:f>IFERROR(K8/J8,0)</x:f>
        <x:v>0</x:v>
      </x:c>
      <x:c r="P8" s="64"/>
    </x:row>
    <x:row r="9">
      <x:c r="A9" s="173"/>
      <x:c r="B9" s="64"/>
      <x:c r="C9" s="64"/>
      <x:c r="D9" s="64"/>
      <x:c r="E9" s="175"/>
      <x:c r="F9" s="175"/>
      <x:c r="G9" s="175"/>
      <x:c r="H9" s="175"/>
      <x:c r="I9" s="175"/>
      <x:c r="J9" s="175"/>
      <x:c r="K9" s="175"/>
      <x:c r="L9" s="175"/>
      <x:c r="M9" s="175" t="n">
        <x:f>SUM(F9:I9)</x:f>
        <x:v>0</x:v>
      </x:c>
      <x:c r="N9" s="177" t="n">
        <x:f>IFERROR(M9/E9,0)</x:f>
        <x:v>0</x:v>
      </x:c>
      <x:c r="O9" s="177" t="n">
        <x:f>IFERROR(K9/J9,0)</x:f>
        <x:v>0</x:v>
      </x:c>
      <x:c r="P9" s="64"/>
    </x:row>
    <x:row r="10">
      <x:c r="A10" s="173"/>
      <x:c r="B10" s="64"/>
      <x:c r="C10" s="64"/>
      <x:c r="D10" s="64"/>
      <x:c r="E10" s="175"/>
      <x:c r="F10" s="175"/>
      <x:c r="G10" s="175"/>
      <x:c r="H10" s="175"/>
      <x:c r="I10" s="175"/>
      <x:c r="J10" s="175"/>
      <x:c r="K10" s="175"/>
      <x:c r="L10" s="175"/>
      <x:c r="M10" s="175" t="n">
        <x:f>SUM(F10:I10)</x:f>
        <x:v>0</x:v>
      </x:c>
      <x:c r="N10" s="177" t="n">
        <x:f>IFERROR(M10/E10,0)</x:f>
        <x:v>0</x:v>
      </x:c>
      <x:c r="O10" s="177" t="n">
        <x:f>IFERROR(K10/J10,0)</x:f>
        <x:v>0</x:v>
      </x:c>
      <x:c r="P10" s="64"/>
    </x:row>
    <x:row r="11">
      <x:c r="A11" s="173"/>
      <x:c r="B11" s="64"/>
      <x:c r="C11" s="64"/>
      <x:c r="D11" s="64"/>
      <x:c r="E11" s="175"/>
      <x:c r="F11" s="175"/>
      <x:c r="G11" s="175"/>
      <x:c r="H11" s="175"/>
      <x:c r="I11" s="175"/>
      <x:c r="J11" s="175"/>
      <x:c r="K11" s="175"/>
      <x:c r="L11" s="175"/>
      <x:c r="M11" s="175" t="n">
        <x:f>SUM(F11:I11)</x:f>
        <x:v>0</x:v>
      </x:c>
      <x:c r="N11" s="177" t="n">
        <x:f>IFERROR(M11/E11,0)</x:f>
        <x:v>0</x:v>
      </x:c>
      <x:c r="O11" s="177" t="n">
        <x:f>IFERROR(K11/J11,0)</x:f>
        <x:v>0</x:v>
      </x:c>
      <x:c r="P11" s="64"/>
    </x:row>
    <x:row r="12">
      <x:c r="A12" s="173"/>
      <x:c r="B12" s="64"/>
      <x:c r="C12" s="64"/>
      <x:c r="D12" s="64"/>
      <x:c r="E12" s="175"/>
      <x:c r="F12" s="175"/>
      <x:c r="G12" s="175"/>
      <x:c r="H12" s="175"/>
      <x:c r="I12" s="175"/>
      <x:c r="J12" s="175"/>
      <x:c r="K12" s="175"/>
      <x:c r="L12" s="175"/>
      <x:c r="M12" s="175" t="n">
        <x:f>SUM(F12:I12)</x:f>
        <x:v>0</x:v>
      </x:c>
      <x:c r="N12" s="177" t="n">
        <x:f>IFERROR(M12/E12,0)</x:f>
        <x:v>0</x:v>
      </x:c>
      <x:c r="O12" s="177" t="n">
        <x:f>IFERROR(K12/J12,0)</x:f>
        <x:v>0</x:v>
      </x:c>
      <x:c r="P12" s="64"/>
    </x:row>
    <x:row r="13">
      <x:c r="A13" s="173"/>
      <x:c r="B13" s="64"/>
      <x:c r="C13" s="64"/>
      <x:c r="D13" s="64"/>
      <x:c r="E13" s="175"/>
      <x:c r="F13" s="175"/>
      <x:c r="G13" s="175"/>
      <x:c r="H13" s="175"/>
      <x:c r="I13" s="175"/>
      <x:c r="J13" s="175"/>
      <x:c r="K13" s="175"/>
      <x:c r="L13" s="175"/>
      <x:c r="M13" s="175" t="n">
        <x:f>SUM(F13:I13)</x:f>
        <x:v>0</x:v>
      </x:c>
      <x:c r="N13" s="177" t="n">
        <x:f>IFERROR(M13/E13,0)</x:f>
        <x:v>0</x:v>
      </x:c>
      <x:c r="O13" s="177" t="n">
        <x:f>IFERROR(K13/J13,0)</x:f>
        <x:v>0</x:v>
      </x:c>
      <x:c r="P13" s="64"/>
    </x:row>
    <x:row r="14">
      <x:c r="A14" s="173"/>
      <x:c r="B14" s="64"/>
      <x:c r="C14" s="64"/>
      <x:c r="D14" s="64"/>
      <x:c r="E14" s="175"/>
      <x:c r="F14" s="175"/>
      <x:c r="G14" s="175"/>
      <x:c r="H14" s="175"/>
      <x:c r="I14" s="175"/>
      <x:c r="J14" s="175"/>
      <x:c r="K14" s="175"/>
      <x:c r="L14" s="175"/>
      <x:c r="M14" s="175" t="n">
        <x:f>SUM(F14:I14)</x:f>
        <x:v>0</x:v>
      </x:c>
      <x:c r="N14" s="177" t="n">
        <x:f>IFERROR(M14/E14,0)</x:f>
        <x:v>0</x:v>
      </x:c>
      <x:c r="O14" s="177" t="n">
        <x:f>IFERROR(K14/J14,0)</x:f>
        <x:v>0</x:v>
      </x:c>
      <x:c r="P14" s="64"/>
    </x:row>
    <x:row r="15">
      <x:c r="A15" s="173"/>
      <x:c r="B15" s="64"/>
      <x:c r="C15" s="64"/>
      <x:c r="D15" s="64"/>
      <x:c r="E15" s="175"/>
      <x:c r="F15" s="175"/>
      <x:c r="G15" s="175"/>
      <x:c r="H15" s="175"/>
      <x:c r="I15" s="175"/>
      <x:c r="J15" s="175"/>
      <x:c r="K15" s="175"/>
      <x:c r="L15" s="175"/>
      <x:c r="M15" s="175" t="n">
        <x:f>SUM(F15:I15)</x:f>
        <x:v>0</x:v>
      </x:c>
      <x:c r="N15" s="177" t="n">
        <x:f>IFERROR(M15/E15,0)</x:f>
        <x:v>0</x:v>
      </x:c>
      <x:c r="O15" s="177" t="n">
        <x:f>IFERROR(K15/J15,0)</x:f>
        <x:v>0</x:v>
      </x:c>
      <x:c r="P15" s="64"/>
    </x:row>
    <x:row r="16">
      <x:c r="A16" s="173"/>
      <x:c r="B16" s="64"/>
      <x:c r="C16" s="64"/>
      <x:c r="D16" s="64"/>
      <x:c r="E16" s="175"/>
      <x:c r="F16" s="175"/>
      <x:c r="G16" s="175"/>
      <x:c r="H16" s="175"/>
      <x:c r="I16" s="175"/>
      <x:c r="J16" s="175"/>
      <x:c r="K16" s="175"/>
      <x:c r="L16" s="175"/>
      <x:c r="M16" s="175" t="n">
        <x:f>SUM(F16:I16)</x:f>
        <x:v>0</x:v>
      </x:c>
      <x:c r="N16" s="177" t="n">
        <x:f>IFERROR(M16/E16,0)</x:f>
        <x:v>0</x:v>
      </x:c>
      <x:c r="O16" s="177" t="n">
        <x:f>IFERROR(K16/J16,0)</x:f>
        <x:v>0</x:v>
      </x:c>
      <x:c r="P16" s="64"/>
    </x:row>
    <x:row r="17">
      <x:c r="A17" s="173"/>
      <x:c r="B17" s="64"/>
      <x:c r="C17" s="64"/>
      <x:c r="D17" s="64"/>
      <x:c r="E17" s="175"/>
      <x:c r="F17" s="175"/>
      <x:c r="G17" s="175"/>
      <x:c r="H17" s="175"/>
      <x:c r="I17" s="175"/>
      <x:c r="J17" s="175"/>
      <x:c r="K17" s="175"/>
      <x:c r="L17" s="175"/>
      <x:c r="M17" s="175" t="n">
        <x:f>SUM(F17:I17)</x:f>
        <x:v>0</x:v>
      </x:c>
      <x:c r="N17" s="177" t="n">
        <x:f>IFERROR(M17/E17,0)</x:f>
        <x:v>0</x:v>
      </x:c>
      <x:c r="O17" s="177" t="n">
        <x:f>IFERROR(K17/J17,0)</x:f>
        <x:v>0</x:v>
      </x:c>
      <x:c r="P17" s="64"/>
    </x:row>
    <x:row r="18">
      <x:c r="A18" s="173"/>
      <x:c r="B18" s="64"/>
      <x:c r="C18" s="64"/>
      <x:c r="D18" s="64"/>
      <x:c r="E18" s="175"/>
      <x:c r="F18" s="175"/>
      <x:c r="G18" s="175"/>
      <x:c r="H18" s="175"/>
      <x:c r="I18" s="175"/>
      <x:c r="J18" s="175"/>
      <x:c r="K18" s="175"/>
      <x:c r="L18" s="175"/>
      <x:c r="M18" s="175" t="n">
        <x:f>SUM(F18:I18)</x:f>
        <x:v>0</x:v>
      </x:c>
      <x:c r="N18" s="177" t="n">
        <x:f>IFERROR(M18/E18,0)</x:f>
        <x:v>0</x:v>
      </x:c>
      <x:c r="O18" s="177" t="n">
        <x:f>IFERROR(K18/J18,0)</x:f>
        <x:v>0</x:v>
      </x:c>
      <x:c r="P18" s="64"/>
    </x:row>
    <x:row r="19">
      <x:c r="A19" s="173"/>
      <x:c r="B19" s="64"/>
      <x:c r="C19" s="64"/>
      <x:c r="D19" s="64"/>
      <x:c r="E19" s="175"/>
      <x:c r="F19" s="175"/>
      <x:c r="G19" s="175"/>
      <x:c r="H19" s="175"/>
      <x:c r="I19" s="175"/>
      <x:c r="J19" s="175"/>
      <x:c r="K19" s="175"/>
      <x:c r="L19" s="175"/>
      <x:c r="M19" s="175" t="n">
        <x:f>SUM(F19:I19)</x:f>
        <x:v>0</x:v>
      </x:c>
      <x:c r="N19" s="177" t="n">
        <x:f>IFERROR(M19/E19,0)</x:f>
        <x:v>0</x:v>
      </x:c>
      <x:c r="O19" s="177" t="n">
        <x:f>IFERROR(K19/J19,0)</x:f>
        <x:v>0</x:v>
      </x:c>
      <x:c r="P19" s="64"/>
    </x:row>
    <x:row r="20">
      <x:c r="A20" s="173"/>
      <x:c r="B20" s="64"/>
      <x:c r="C20" s="64"/>
      <x:c r="D20" s="64"/>
      <x:c r="E20" s="175"/>
      <x:c r="F20" s="175"/>
      <x:c r="G20" s="175"/>
      <x:c r="H20" s="175"/>
      <x:c r="I20" s="175"/>
      <x:c r="J20" s="175"/>
      <x:c r="K20" s="175"/>
      <x:c r="L20" s="175"/>
      <x:c r="M20" s="175" t="n">
        <x:f>SUM(F20:I20)</x:f>
        <x:v>0</x:v>
      </x:c>
      <x:c r="N20" s="177" t="n">
        <x:f>IFERROR(M20/E20,0)</x:f>
        <x:v>0</x:v>
      </x:c>
      <x:c r="O20" s="177" t="n">
        <x:f>IFERROR(K20/J20,0)</x:f>
        <x:v>0</x:v>
      </x:c>
      <x:c r="P20" s="64"/>
    </x:row>
    <x:row r="21">
      <x:c r="A21" s="173"/>
      <x:c r="B21" s="64"/>
      <x:c r="C21" s="64"/>
      <x:c r="D21" s="64"/>
      <x:c r="E21" s="175"/>
      <x:c r="F21" s="175"/>
      <x:c r="G21" s="175"/>
      <x:c r="H21" s="175"/>
      <x:c r="I21" s="175"/>
      <x:c r="J21" s="175"/>
      <x:c r="K21" s="175"/>
      <x:c r="L21" s="175"/>
      <x:c r="M21" s="175" t="n">
        <x:f>SUM(F21:I21)</x:f>
        <x:v>0</x:v>
      </x:c>
      <x:c r="N21" s="177" t="n">
        <x:f>IFERROR(M21/E21,0)</x:f>
        <x:v>0</x:v>
      </x:c>
      <x:c r="O21" s="177" t="n">
        <x:f>IFERROR(K21/J21,0)</x:f>
        <x:v>0</x:v>
      </x:c>
      <x:c r="P21" s="64"/>
    </x:row>
    <x:row r="22">
      <x:c r="A22" s="173"/>
      <x:c r="B22" s="64"/>
      <x:c r="C22" s="64"/>
      <x:c r="D22" s="64"/>
      <x:c r="E22" s="175"/>
      <x:c r="F22" s="175"/>
      <x:c r="G22" s="175"/>
      <x:c r="H22" s="175"/>
      <x:c r="I22" s="175"/>
      <x:c r="J22" s="175"/>
      <x:c r="K22" s="175"/>
      <x:c r="L22" s="175"/>
      <x:c r="M22" s="175" t="n">
        <x:f>SUM(F22:I22)</x:f>
        <x:v>0</x:v>
      </x:c>
      <x:c r="N22" s="177" t="n">
        <x:f>IFERROR(M22/E22,0)</x:f>
        <x:v>0</x:v>
      </x:c>
      <x:c r="O22" s="177" t="n">
        <x:f>IFERROR(K22/J22,0)</x:f>
        <x:v>0</x:v>
      </x:c>
      <x:c r="P22" s="64"/>
    </x:row>
    <x:row r="23">
      <x:c r="A23" s="173"/>
      <x:c r="B23" s="64"/>
      <x:c r="C23" s="64"/>
      <x:c r="D23" s="64"/>
      <x:c r="E23" s="175"/>
      <x:c r="F23" s="175"/>
      <x:c r="G23" s="175"/>
      <x:c r="H23" s="175"/>
      <x:c r="I23" s="175"/>
      <x:c r="J23" s="175"/>
      <x:c r="K23" s="175"/>
      <x:c r="L23" s="175"/>
      <x:c r="M23" s="175" t="n">
        <x:f>SUM(F23:I23)</x:f>
        <x:v>0</x:v>
      </x:c>
      <x:c r="N23" s="177" t="n">
        <x:f>IFERROR(M23/E23,0)</x:f>
        <x:v>0</x:v>
      </x:c>
      <x:c r="O23" s="177" t="n">
        <x:f>IFERROR(K23/J23,0)</x:f>
        <x:v>0</x:v>
      </x:c>
      <x:c r="P23" s="64"/>
    </x:row>
    <x:row r="24">
      <x:c r="A24" s="173"/>
      <x:c r="B24" s="64"/>
      <x:c r="C24" s="64"/>
      <x:c r="D24" s="64"/>
      <x:c r="E24" s="175"/>
      <x:c r="F24" s="175"/>
      <x:c r="G24" s="175"/>
      <x:c r="H24" s="175"/>
      <x:c r="I24" s="175"/>
      <x:c r="J24" s="175"/>
      <x:c r="K24" s="175"/>
      <x:c r="L24" s="175"/>
      <x:c r="M24" s="175" t="n">
        <x:f>SUM(F24:I24)</x:f>
        <x:v>0</x:v>
      </x:c>
      <x:c r="N24" s="177" t="n">
        <x:f>IFERROR(M24/E24,0)</x:f>
        <x:v>0</x:v>
      </x:c>
      <x:c r="O24" s="177" t="n">
        <x:f>IFERROR(K24/J24,0)</x:f>
        <x:v>0</x:v>
      </x:c>
      <x:c r="P24" s="64"/>
    </x:row>
    <x:row r="25">
      <x:c r="A25" s="173"/>
      <x:c r="B25" s="64"/>
      <x:c r="C25" s="64"/>
      <x:c r="D25" s="64"/>
      <x:c r="E25" s="175"/>
      <x:c r="F25" s="175"/>
      <x:c r="G25" s="175"/>
      <x:c r="H25" s="175"/>
      <x:c r="I25" s="175"/>
      <x:c r="J25" s="175"/>
      <x:c r="K25" s="175"/>
      <x:c r="L25" s="175"/>
      <x:c r="M25" s="175" t="n">
        <x:f>SUM(F25:I25)</x:f>
        <x:v>0</x:v>
      </x:c>
      <x:c r="N25" s="177" t="n">
        <x:f>IFERROR(M25/E25,0)</x:f>
        <x:v>0</x:v>
      </x:c>
      <x:c r="O25" s="177" t="n">
        <x:f>IFERROR(K25/J25,0)</x:f>
        <x:v>0</x:v>
      </x:c>
      <x:c r="P25" s="64"/>
    </x:row>
    <x:row r="26">
      <x:c r="A26" s="173"/>
      <x:c r="B26" s="64"/>
      <x:c r="C26" s="64"/>
      <x:c r="D26" s="64"/>
      <x:c r="E26" s="175"/>
      <x:c r="F26" s="175"/>
      <x:c r="G26" s="175"/>
      <x:c r="H26" s="175"/>
      <x:c r="I26" s="175"/>
      <x:c r="J26" s="175"/>
      <x:c r="K26" s="175"/>
      <x:c r="L26" s="175"/>
      <x:c r="M26" s="175" t="n">
        <x:f>SUM(F26:I26)</x:f>
        <x:v>0</x:v>
      </x:c>
      <x:c r="N26" s="177" t="n">
        <x:f>IFERROR(M26/E26,0)</x:f>
        <x:v>0</x:v>
      </x:c>
      <x:c r="O26" s="177" t="n">
        <x:f>IFERROR(K26/J26,0)</x:f>
        <x:v>0</x:v>
      </x:c>
      <x:c r="P26" s="64"/>
    </x:row>
    <x:row r="27">
      <x:c r="A27" s="173"/>
      <x:c r="B27" s="64"/>
      <x:c r="C27" s="64"/>
      <x:c r="D27" s="64"/>
      <x:c r="E27" s="175"/>
      <x:c r="F27" s="175"/>
      <x:c r="G27" s="175"/>
      <x:c r="H27" s="175"/>
      <x:c r="I27" s="175"/>
      <x:c r="J27" s="175"/>
      <x:c r="K27" s="175"/>
      <x:c r="L27" s="175"/>
      <x:c r="M27" s="175" t="n">
        <x:f>SUM(F27:I27)</x:f>
        <x:v>0</x:v>
      </x:c>
      <x:c r="N27" s="177" t="n">
        <x:f>IFERROR(M27/E27,0)</x:f>
        <x:v>0</x:v>
      </x:c>
      <x:c r="O27" s="177" t="n">
        <x:f>IFERROR(K27/J27,0)</x:f>
        <x:v>0</x:v>
      </x:c>
      <x:c r="P27" s="64"/>
    </x:row>
    <x:row r="28">
      <x:c r="A28" s="173"/>
      <x:c r="B28" s="64"/>
      <x:c r="C28" s="64"/>
      <x:c r="D28" s="64"/>
      <x:c r="E28" s="175"/>
      <x:c r="F28" s="175"/>
      <x:c r="G28" s="175"/>
      <x:c r="H28" s="175"/>
      <x:c r="I28" s="175"/>
      <x:c r="J28" s="175"/>
      <x:c r="K28" s="175"/>
      <x:c r="L28" s="175"/>
      <x:c r="M28" s="175" t="n">
        <x:f>SUM(F28:I28)</x:f>
        <x:v>0</x:v>
      </x:c>
      <x:c r="N28" s="177" t="n">
        <x:f>IFERROR(M28/E28,0)</x:f>
        <x:v>0</x:v>
      </x:c>
      <x:c r="O28" s="177" t="n">
        <x:f>IFERROR(K28/J28,0)</x:f>
        <x:v>0</x:v>
      </x:c>
      <x:c r="P28" s="64"/>
    </x:row>
    <x:row r="29">
      <x:c r="A29" s="173"/>
      <x:c r="B29" s="64"/>
      <x:c r="C29" s="64"/>
      <x:c r="D29" s="64"/>
      <x:c r="E29" s="175"/>
      <x:c r="F29" s="175"/>
      <x:c r="G29" s="175"/>
      <x:c r="H29" s="175"/>
      <x:c r="I29" s="175"/>
      <x:c r="J29" s="175"/>
      <x:c r="K29" s="175"/>
      <x:c r="L29" s="175"/>
      <x:c r="M29" s="175" t="n">
        <x:f>SUM(F29:I29)</x:f>
        <x:v>0</x:v>
      </x:c>
      <x:c r="N29" s="177" t="n">
        <x:f>IFERROR(M29/E29,0)</x:f>
        <x:v>0</x:v>
      </x:c>
      <x:c r="O29" s="177" t="n">
        <x:f>IFERROR(K29/J29,0)</x:f>
        <x:v>0</x:v>
      </x:c>
      <x:c r="P29" s="64"/>
    </x:row>
    <x:row r="30">
      <x:c r="A30" s="173"/>
      <x:c r="B30" s="64"/>
      <x:c r="C30" s="64"/>
      <x:c r="D30" s="64"/>
      <x:c r="E30" s="175"/>
      <x:c r="F30" s="175"/>
      <x:c r="G30" s="175"/>
      <x:c r="H30" s="175"/>
      <x:c r="I30" s="175"/>
      <x:c r="J30" s="175"/>
      <x:c r="K30" s="175"/>
      <x:c r="L30" s="175"/>
      <x:c r="M30" s="175" t="n">
        <x:f>SUM(F30:I30)</x:f>
        <x:v>0</x:v>
      </x:c>
      <x:c r="N30" s="177" t="n">
        <x:f>IFERROR(M30/E30,0)</x:f>
        <x:v>0</x:v>
      </x:c>
      <x:c r="O30" s="177" t="n">
        <x:f>IFERROR(K30/J30,0)</x:f>
        <x:v>0</x:v>
      </x:c>
      <x:c r="P30" s="64"/>
    </x:row>
    <x:row r="31">
      <x:c r="A31" s="173"/>
      <x:c r="B31" s="64"/>
      <x:c r="C31" s="64"/>
      <x:c r="D31" s="64"/>
      <x:c r="E31" s="175"/>
      <x:c r="F31" s="175"/>
      <x:c r="G31" s="175"/>
      <x:c r="H31" s="175"/>
      <x:c r="I31" s="175"/>
      <x:c r="J31" s="175"/>
      <x:c r="K31" s="175"/>
      <x:c r="L31" s="175"/>
      <x:c r="M31" s="175" t="n">
        <x:f>SUM(F31:I31)</x:f>
        <x:v>0</x:v>
      </x:c>
      <x:c r="N31" s="177" t="n">
        <x:f>IFERROR(M31/E31,0)</x:f>
        <x:v>0</x:v>
      </x:c>
      <x:c r="O31" s="177" t="n">
        <x:f>IFERROR(K31/J31,0)</x:f>
        <x:v>0</x:v>
      </x:c>
      <x:c r="P31" s="64"/>
    </x:row>
    <x:row r="32">
      <x:c r="A32" s="173"/>
      <x:c r="B32" s="64"/>
      <x:c r="C32" s="64"/>
      <x:c r="D32" s="64"/>
      <x:c r="E32" s="175"/>
      <x:c r="F32" s="175"/>
      <x:c r="G32" s="175"/>
      <x:c r="H32" s="175"/>
      <x:c r="I32" s="175"/>
      <x:c r="J32" s="175"/>
      <x:c r="K32" s="175"/>
      <x:c r="L32" s="175"/>
      <x:c r="M32" s="175" t="n">
        <x:f>SUM(F32:I32)</x:f>
        <x:v>0</x:v>
      </x:c>
      <x:c r="N32" s="177" t="n">
        <x:f>IFERROR(M32/E32,0)</x:f>
        <x:v>0</x:v>
      </x:c>
      <x:c r="O32" s="177" t="n">
        <x:f>IFERROR(K32/J32,0)</x:f>
        <x:v>0</x:v>
      </x:c>
      <x:c r="P32" s="64"/>
    </x:row>
    <x:row r="33">
      <x:c r="A33" s="173"/>
      <x:c r="B33" s="64"/>
      <x:c r="C33" s="64"/>
      <x:c r="D33" s="64"/>
      <x:c r="E33" s="175"/>
      <x:c r="F33" s="175"/>
      <x:c r="G33" s="175"/>
      <x:c r="H33" s="175"/>
      <x:c r="I33" s="175"/>
      <x:c r="J33" s="175"/>
      <x:c r="K33" s="175"/>
      <x:c r="L33" s="175"/>
      <x:c r="M33" s="175" t="n">
        <x:f>SUM(F33:I33)</x:f>
        <x:v>0</x:v>
      </x:c>
      <x:c r="N33" s="177" t="n">
        <x:f>IFERROR(M33/E33,0)</x:f>
        <x:v>0</x:v>
      </x:c>
      <x:c r="O33" s="177" t="n">
        <x:f>IFERROR(K33/J33,0)</x:f>
        <x:v>0</x:v>
      </x:c>
      <x:c r="P33" s="64"/>
    </x:row>
    <x:row r="34">
      <x:c r="A34" s="173"/>
      <x:c r="B34" s="64"/>
      <x:c r="C34" s="64"/>
      <x:c r="D34" s="64"/>
      <x:c r="E34" s="175"/>
      <x:c r="F34" s="175"/>
      <x:c r="G34" s="175"/>
      <x:c r="H34" s="175"/>
      <x:c r="I34" s="175"/>
      <x:c r="J34" s="175"/>
      <x:c r="K34" s="175"/>
      <x:c r="L34" s="175"/>
      <x:c r="M34" s="175" t="n">
        <x:f>SUM(F34:I34)</x:f>
        <x:v>0</x:v>
      </x:c>
      <x:c r="N34" s="177" t="n">
        <x:f>IFERROR(M34/E34,0)</x:f>
        <x:v>0</x:v>
      </x:c>
      <x:c r="O34" s="177" t="n">
        <x:f>IFERROR(K34/J34,0)</x:f>
        <x:v>0</x:v>
      </x:c>
      <x:c r="P34" s="64"/>
    </x:row>
    <x:row r="35">
      <x:c r="A35" s="173"/>
      <x:c r="B35" s="64"/>
      <x:c r="C35" s="64"/>
      <x:c r="D35" s="64"/>
      <x:c r="E35" s="175"/>
      <x:c r="F35" s="175"/>
      <x:c r="G35" s="175"/>
      <x:c r="H35" s="175"/>
      <x:c r="I35" s="175"/>
      <x:c r="J35" s="175"/>
      <x:c r="K35" s="175"/>
      <x:c r="L35" s="175"/>
      <x:c r="M35" s="175" t="n">
        <x:f>SUM(F35:I35)</x:f>
        <x:v>0</x:v>
      </x:c>
      <x:c r="N35" s="177" t="n">
        <x:f>IFERROR(M35/E35,0)</x:f>
        <x:v>0</x:v>
      </x:c>
      <x:c r="O35" s="177" t="n">
        <x:f>IFERROR(K35/J35,0)</x:f>
        <x:v>0</x:v>
      </x:c>
      <x:c r="P35" s="64"/>
    </x:row>
  </x:sheetData>
  <x:mergeCells>
    <x:mergeCell ref="A1:P2"/>
    <x:mergeCell ref="A3:P3"/>
  </x:mergeCells>
  <x:conditionalFormatting sqref="N6:N35">
    <x:cfRule type="dataBar" priority="1">
      <x:dataBar>
        <x:cfvo type="min"/>
        <x:cfvo type="max"/>
        <x:color rgb="FFB08A4A"/>
      </x:dataBar>
      <x:extLst>
        <x:ext xmlns:x14="http://schemas.microsoft.com/office/spreadsheetml/2009/9/main" uri="{B025F937-C7B1-47D3-B67F-A62EFF666E3E}">
          <x14:id>{44F705DF-6BD8-0CEC-AAE0-E7B46F81832C}</x14:id>
        </x:ext>
      </x:extLst>
    </x:cfRule>
  </x:conditionalFormatting>
  <x:dataValidations count="2">
    <x:dataValidation type="list" sqref="B6:B35">
      <x:formula1>"X,Instagram,LinkedIn"</x:formula1>
    </x:dataValidation>
    <x:dataValidation type="list" sqref="D6:D35">
      <x:formula1>"Text,Portrait,Carousel,Story,Reel,Video,Other"</x:formula1>
    </x:dataValidation>
  </x:dataValidations>
  <x:pageMargins left="0.7" right="0.7" top="0.75" bottom="0.75" header="0.3" footer="0.3"/>
  <x:tableParts count="1">
    <x:tablePart xmlns:r="http://schemas.openxmlformats.org/officeDocument/2006/relationships" r:id="R066e65383dd541fd"/>
  </x:tableParts>
  <x:extLst>
    <x:ext xmlns:x14="http://schemas.microsoft.com/office/spreadsheetml/2009/9/main" xmlns:xm="http://schemas.microsoft.com/office/excel/2006/main" uri="{78C0D931-6437-407d-A8EE-F0AAD7539E65}">
      <x14:conditionalFormattings>
        <x14:conditionalFormatting>
          <x14:cfRule type="dataBar" priority="1" id="{44F705DF-6BD8-0CEC-AAE0-E7B46F81832C}">
            <x14:dataBar gradient="1">
              <x14:cfvo type="min"/>
              <x14:cfvo type="max"/>
              <x14:fillColor rgb="FFB08A4A"/>
            </x14:dataBar>
          </x14:cfRule>
          <xm:sqref>N6:N35</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70" hidden="0" customWidth="1"/>
    <x:col min="3" max="3" width="48" hidden="0" customWidth="1"/>
  </x:cols>
  <x:sheetData>
    <x:row r="1" ht="36" customHeight="1">
      <x:c r="A1" s="5" t="str">
        <x:v>SOURCES + PLATFORM NOTES</x:v>
      </x:c>
      <x:c r="B1" s="5" t="str">
        <x:v>SOURCES + PLATFORM NOTES</x:v>
      </x:c>
      <x:c r="C1" s="5" t="str">
        <x:v>SOURCES + PLATFORM NOTES</x:v>
      </x:c>
    </x:row>
    <x:row r="2" ht="36" customHeight="1">
      <x:c r="A2" s="5" t="str">
        <x:v>SOURCES + PLATFORM NOTES</x:v>
      </x:c>
      <x:c r="B2" s="5" t="str">
        <x:v>SOURCES + PLATFORM NOTES</x:v>
      </x:c>
      <x:c r="C2" s="5" t="str">
        <x:v>SOURCES + PLATFORM NOTES</x:v>
      </x:c>
    </x:row>
    <x:row r="3" ht="24" customHeight="1">
      <x:c r="A3" s="8" t="str">
        <x:v>Official references used for platform, professional-practice and planning guidance.</x:v>
      </x:c>
      <x:c r="B3" s="8" t="str">
        <x:v>Official references used for platform, professional-practice and planning guidance.</x:v>
      </x:c>
      <x:c r="C3" s="8" t="str">
        <x:v>Official references used for platform, professional-practice and planning guidance.</x:v>
      </x:c>
    </x:row>
    <x:row r="5" ht="32" customHeight="1">
      <x:c r="A5" s="55" t="str">
        <x:v>Source</x:v>
      </x:c>
      <x:c r="B5" s="56" t="str">
        <x:v>URL</x:v>
      </x:c>
      <x:c r="C5" s="57" t="str">
        <x:v>Used for</x:v>
      </x:c>
    </x:row>
    <x:row r="6" ht="15" hidden="0" customHeight="1">
      <x:c r="A6" s="178" t="str">
        <x:v>Instagram Best Practices for creators</x:v>
      </x:c>
      <x:c r="B6" s="63" t="str">
        <x:v>https://creators.instagram.com/blog/best-practices-for-creators</x:v>
      </x:c>
      <x:c r="C6" s="63" t="str">
        <x:v>Professional dashboard education and personalised creator guidance</x:v>
      </x:c>
    </x:row>
    <x:row r="7" ht="15" hidden="0" customHeight="1">
      <x:c r="A7" s="179" t="str">
        <x:v>Instagram for Creators</x:v>
      </x:c>
      <x:c r="B7" s="64" t="str">
        <x:v>https://creators.instagram.com/</x:v>
      </x:c>
      <x:c r="C7" s="64" t="str">
        <x:v>Professional-account creator tools and insights</x:v>
      </x:c>
    </x:row>
    <x:row r="8" ht="15" hidden="0" customHeight="1">
      <x:c r="A8" s="179" t="str">
        <x:v>Instagram partnership ads</x:v>
      </x:c>
      <x:c r="B8" s="64" t="str">
        <x:v>https://help.instagram.com/116947042301556/</x:v>
      </x:c>
      <x:c r="C8" s="64" t="str">
        <x:v>Future creator–brand partnership tools</x:v>
      </x:c>
    </x:row>
    <x:row r="9" ht="15" hidden="0" customHeight="1">
      <x:c r="A9" s="179" t="str">
        <x:v>Instagram branded content policies</x:v>
      </x:c>
      <x:c r="B9" s="64" t="str">
        <x:v>https://help.instagram.com/1695974997209192</x:v>
      </x:c>
      <x:c r="C9" s="64" t="str">
        <x:v>Commercial disclosure and branded-content context</x:v>
      </x:c>
    </x:row>
    <x:row r="10" ht="15" hidden="0" customHeight="1">
      <x:c r="A10" s="179" t="str">
        <x:v>X view counts</x:v>
      </x:c>
      <x:c r="B10" s="64" t="str">
        <x:v>https://help.x.com/en/using-x/view-counts</x:v>
      </x:c>
      <x:c r="C10" s="64" t="str">
        <x:v>Understanding that visible views are not unique viewers</x:v>
      </x:c>
    </x:row>
    <x:row r="11" ht="15" hidden="0" customHeight="1">
      <x:c r="A11" s="179" t="str">
        <x:v>X Media Studio analytics</x:v>
      </x:c>
      <x:c r="B11" s="64" t="str">
        <x:v>https://help.x.com/en/using-x/media-studio-analytics</x:v>
      </x:c>
      <x:c r="C11" s="64" t="str">
        <x:v>Video and content analytics</x:v>
      </x:c>
    </x:row>
    <x:row r="12" ht="15" hidden="0" customHeight="1">
      <x:c r="A12" s="179" t="str">
        <x:v>LinkedIn creator-profile updates</x:v>
      </x:c>
      <x:c r="B12" s="64" t="str">
        <x:v>https://www.linkedin.com/help/linkedin/answer/a5999182</x:v>
      </x:c>
      <x:c r="C12" s="64" t="str">
        <x:v>Current Follow, analytics and creator-profile model</x:v>
      </x:c>
    </x:row>
    <x:row r="13" ht="15" hidden="0" customHeight="1">
      <x:c r="A13" s="179" t="str">
        <x:v>Igbo vocabulary: n’ime</x:v>
      </x:c>
      <x:c r="B13" s="64" t="str">
        <x:v>https://www.igboguide.org/HT-vocabulary.htm</x:v>
      </x:c>
      <x:c r="C13" s="64" t="str">
        <x:v>Inside / within language layer for the IN concept</x:v>
      </x:c>
    </x:row>
    <x:row r="14" ht="15" hidden="0" customHeight="1">
      <x:c r="A14" s="179" t="str">
        <x:v>HEFAMAA home-care requirements</x:v>
      </x:c>
      <x:c r="B14" s="64" t="str">
        <x:v>https://hefamaa.lagosstate.gov.ng/registration/home-care-services/</x:v>
      </x:c>
      <x:c r="C14" s="64" t="str">
        <x:v>Current Lagos home-care facility requirements and minimum staffing</x:v>
      </x:c>
    </x:row>
    <x:row r="15" ht="24" hidden="0" customHeight="1">
      <x:c r="A15" s="179" t="str">
        <x:v>HEFAMAA mobile-clinic requirements</x:v>
      </x:c>
      <x:c r="B15" s="64" t="str">
        <x:v>https://hefamaa.lagosstate.gov.ng/registration/mobile-clinics/</x:v>
      </x:c>
      <x:c r="C15" s="64" t="str">
        <x:v>Current Lagos mobile-clinic structure and medical leadership requirements</x:v>
      </x:c>
    </x:row>
    <x:row r="16" ht="24" hidden="0" customHeight="1">
      <x:c r="A16" s="179" t="str">
        <x:v>NMCN Code of Professional Conduct</x:v>
      </x:c>
      <x:c r="B16" s="64" t="str">
        <x:v>https://nmcn.gov.ng/codec.html</x:v>
      </x:c>
      <x:c r="C16" s="64" t="str">
        <x:v>Consent, confidentiality, accurate information and professional accountability</x:v>
      </x:c>
    </x:row>
    <x:row r="17" ht="15" hidden="0" customHeight="1">
      <x:c r="A17" s="179" t="str">
        <x:v>NMCN licensing</x:v>
      </x:c>
      <x:c r="B17" s="64" t="str">
        <x:v>https://nmcn.gov.ng/licensing.html</x:v>
      </x:c>
      <x:c r="C17" s="64" t="str">
        <x:v>Current nursing-practice licensing requirement</x:v>
      </x:c>
    </x:row>
    <x:row r="19">
      <x:c r="A19" s="156" t="str">
        <x:v>Platform features and professional requirements can change. Confirm current guidance with the relevant platform, HEFAMAA, NMCN and qualified advisers before enabling partnerships or launching a clinical service.</x:v>
      </x:c>
      <x:c r="B19" s="157" t="str">
        <x:v>Platform features and professional requirements can change. Confirm current guidance with the relevant platform, HEFAMAA, NMCN and qualified advisers before enabling partnerships or launching a clinical service.</x:v>
      </x:c>
      <x:c r="C19" s="158" t="str">
        <x:v>Platform features and professional requirements can change. Confirm current guidance with the relevant platform, HEFAMAA, NMCN and qualified advisers before enabling partnerships or launching a clinical service.</x:v>
      </x:c>
    </x:row>
    <x:row r="20">
      <x:c r="A20" s="159" t="str">
        <x:v>Platform features and professional requirements can change. Confirm current guidance with the relevant platform, HEFAMAA, NMCN and qualified advisers before enabling partnerships or launching a clinical service.</x:v>
      </x:c>
      <x:c r="B20" s="160" t="str">
        <x:v>Platform features and professional requirements can change. Confirm current guidance with the relevant platform, HEFAMAA, NMCN and qualified advisers before enabling partnerships or launching a clinical service.</x:v>
      </x:c>
      <x:c r="C20" s="161" t="str">
        <x:v>Platform features and professional requirements can change. Confirm current guidance with the relevant platform, HEFAMAA, NMCN and qualified advisers before enabling partnerships or launching a clinical service.</x:v>
      </x:c>
    </x:row>
  </x:sheetData>
  <x:mergeCells>
    <x:mergeCell ref="A1:C2"/>
    <x:mergeCell ref="A3:C3"/>
    <x:mergeCell ref="A19:C20"/>
  </x:mergeCells>
  <x:pageMargins left="0.7" right="0.7" top="0.75" bottom="0.75" header="0.3" footer="0.3"/>
</x:worksheet>
</file>